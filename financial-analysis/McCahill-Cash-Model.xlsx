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UMPTIONS" sheetId="2" state="visible" r:id="rId2"/>
    <sheet name="ACCOUNT MAP" sheetId="3" state="visible" r:id="rId3"/>
    <sheet name="CATEGORIES" sheetId="4" state="visible" r:id="rId4"/>
    <sheet name="TRANSACTIONS" sheetId="5" state="visible" r:id="rId5"/>
    <sheet name="CASH RECONCILIATION" sheetId="6" state="visible" r:id="rId6"/>
    <sheet name="MONTH BY MONTH" sheetId="7" state="visible" r:id="rId7"/>
    <sheet name="BUSINESS PERFORMANCE" sheetId="8" state="visible" r:id="rId8"/>
    <sheet name="CRA LIABILITY" sheetId="9" state="visible" r:id="rId9"/>
    <sheet name="CASH QUALITY" sheetId="10" state="visible" r:id="rId10"/>
    <sheet name="VEHICLE SCENARIOS" sheetId="11" state="visible" r:id="rId11"/>
    <sheet name="SCENARIOS" sheetId="12" state="visible" r:id="rId12"/>
    <sheet name="FLAGS" sheetId="13" state="visible" r:id="rId13"/>
  </sheets>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0.00;($#,##0.00);-"/>
    <numFmt numFmtId="167" formatCode="0.0%"/>
    <numFmt numFmtId="168" formatCode="#,##0.0"/>
  </numFmts>
  <fonts count="17">
    <font>
      <name val="Calibri"/>
      <family val="2"/>
      <color theme="1"/>
      <sz val="11"/>
      <scheme val="minor"/>
    </font>
    <font>
      <name val="Arial"/>
      <b val="1"/>
      <color rgb="002F5D44"/>
      <sz val="14"/>
    </font>
    <font>
      <name val="Arial"/>
      <i val="1"/>
      <color rgb="005A6470"/>
      <sz val="9"/>
    </font>
    <font>
      <name val="Arial"/>
      <b val="1"/>
      <sz val="10"/>
    </font>
    <font>
      <name val="Arial"/>
      <sz val="10"/>
    </font>
    <font>
      <name val="Arial"/>
      <b val="1"/>
      <color rgb="002F5D44"/>
      <sz val="11"/>
    </font>
    <font>
      <name val="Arial"/>
      <b val="1"/>
      <color rgb="00FFFFFF"/>
      <sz val="10"/>
    </font>
    <font>
      <name val="Arial"/>
      <i val="1"/>
      <color rgb="00999999"/>
      <sz val="10"/>
    </font>
    <font>
      <name val="Arial"/>
      <color rgb="000000FF"/>
      <sz val="10"/>
    </font>
    <font>
      <name val="Arial"/>
      <color rgb="005A6470"/>
      <sz val="9"/>
    </font>
    <font>
      <name val="Arial"/>
      <color rgb="00008000"/>
      <sz val="10"/>
    </font>
    <font>
      <name val="Arial"/>
      <color rgb="00999999"/>
      <sz val="9"/>
    </font>
    <font>
      <name val="Arial"/>
      <b val="1"/>
      <color rgb="002F5D44"/>
      <sz val="10"/>
    </font>
    <font>
      <name val="Arial"/>
      <b val="1"/>
      <color rgb="002F5D44"/>
      <sz val="9"/>
    </font>
    <font>
      <name val="Arial"/>
      <b val="1"/>
      <color rgb="00C00000"/>
      <sz val="9"/>
    </font>
    <font>
      <name val="Arial"/>
      <color rgb="00C00000"/>
      <sz val="9"/>
    </font>
    <font>
      <name val="Arial"/>
      <b val="1"/>
      <color rgb="00C00000"/>
      <sz val="11"/>
    </font>
  </fonts>
  <fills count="8">
    <fill>
      <patternFill/>
    </fill>
    <fill>
      <patternFill patternType="gray125"/>
    </fill>
    <fill>
      <patternFill patternType="solid">
        <fgColor rgb="002F5D44"/>
      </patternFill>
    </fill>
    <fill>
      <patternFill patternType="solid">
        <fgColor rgb="00FFFF00"/>
      </patternFill>
    </fill>
    <fill>
      <patternFill patternType="solid">
        <fgColor rgb="00E7EFE9"/>
      </patternFill>
    </fill>
    <fill>
      <patternFill patternType="solid">
        <fgColor rgb="00FDE7E7"/>
      </patternFill>
    </fill>
    <fill>
      <patternFill patternType="solid">
        <fgColor rgb="00EEF3EF"/>
      </patternFill>
    </fill>
    <fill>
      <patternFill patternType="solid">
        <fgColor rgb="00FFFFFF"/>
      </patternFill>
    </fill>
  </fills>
  <borders count="2">
    <border>
      <left/>
      <right/>
      <top/>
      <bottom/>
      <diagonal/>
    </border>
    <border>
      <left style="thin">
        <color rgb="00C4CDC6"/>
      </left>
      <right style="thin">
        <color rgb="00C4CDC6"/>
      </right>
      <top style="thin">
        <color rgb="00C4CDC6"/>
      </top>
      <bottom style="thin">
        <color rgb="00C4CDC6"/>
      </bottom>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4" fillId="0"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vertical="top"/>
    </xf>
    <xf numFmtId="49" fontId="8" fillId="3" borderId="1" applyAlignment="1" pivotButton="0" quotePrefix="0" xfId="0">
      <alignment vertical="top"/>
    </xf>
    <xf numFmtId="0" fontId="13" fillId="0" borderId="1" applyAlignment="1" pivotButton="0" quotePrefix="0" xfId="0">
      <alignment vertical="top"/>
    </xf>
    <xf numFmtId="0" fontId="9" fillId="0" borderId="1" applyAlignment="1" pivotButton="0" quotePrefix="0" xfId="0">
      <alignment vertical="top" wrapText="1"/>
    </xf>
    <xf numFmtId="166" fontId="8" fillId="3" borderId="1" applyAlignment="1" pivotButton="0" quotePrefix="0" xfId="0">
      <alignment vertical="top"/>
    </xf>
    <xf numFmtId="164" fontId="8" fillId="3" borderId="1" applyAlignment="1" pivotButton="0" quotePrefix="0" xfId="0">
      <alignment vertical="top"/>
    </xf>
    <xf numFmtId="167" fontId="8" fillId="3" borderId="1" applyAlignment="1" pivotButton="0" quotePrefix="0" xfId="0">
      <alignment vertical="top"/>
    </xf>
    <xf numFmtId="0" fontId="14" fillId="0" borderId="1" applyAlignment="1" pivotButton="0" quotePrefix="0" xfId="0">
      <alignment vertical="top"/>
    </xf>
    <xf numFmtId="168" fontId="8" fillId="3" borderId="1" applyAlignment="1" pivotButton="0" quotePrefix="0" xfId="0">
      <alignment vertical="top"/>
    </xf>
    <xf numFmtId="0" fontId="7" fillId="0" borderId="1" pivotButton="0" quotePrefix="0" xfId="0"/>
    <xf numFmtId="164" fontId="7" fillId="0" borderId="1" pivotButton="0" quotePrefix="0" xfId="0"/>
    <xf numFmtId="0" fontId="8" fillId="7" borderId="1" pivotButton="0" quotePrefix="0" xfId="0"/>
    <xf numFmtId="164" fontId="8" fillId="3" borderId="1" pivotButton="0" quotePrefix="0" xfId="0"/>
    <xf numFmtId="0" fontId="9" fillId="7" borderId="1" applyAlignment="1" pivotButton="0" quotePrefix="0" xfId="0">
      <alignment vertical="top" wrapText="1"/>
    </xf>
    <xf numFmtId="0" fontId="8" fillId="3" borderId="1" pivotButton="0" quotePrefix="0" xfId="0"/>
    <xf numFmtId="0" fontId="3" fillId="4" borderId="0" pivotButton="0" quotePrefix="0" xfId="0"/>
    <xf numFmtId="0" fontId="0" fillId="4" borderId="0" pivotButton="0" quotePrefix="0" xfId="0"/>
    <xf numFmtId="164" fontId="4" fillId="0" borderId="1" pivotButton="0" quotePrefix="0" xfId="0"/>
    <xf numFmtId="164" fontId="3" fillId="4" borderId="1" pivotButton="0" quotePrefix="0" xfId="0"/>
    <xf numFmtId="0" fontId="9" fillId="0" borderId="0" pivotButton="0" quotePrefix="0" xfId="0"/>
    <xf numFmtId="0" fontId="3" fillId="0" borderId="1" applyAlignment="1" pivotButton="0" quotePrefix="0" xfId="0">
      <alignment vertical="top"/>
    </xf>
    <xf numFmtId="0" fontId="4" fillId="0" borderId="1" applyAlignment="1" pivotButton="0" quotePrefix="0" xfId="0">
      <alignment vertical="top" wrapText="1"/>
    </xf>
    <xf numFmtId="0" fontId="4" fillId="5" borderId="1" applyAlignment="1" pivotButton="0" quotePrefix="0" xfId="0">
      <alignment vertical="top"/>
    </xf>
    <xf numFmtId="0" fontId="3" fillId="5" borderId="1" applyAlignment="1" pivotButton="0" quotePrefix="0" xfId="0">
      <alignment vertical="top"/>
    </xf>
    <xf numFmtId="0" fontId="4" fillId="5" borderId="1" applyAlignment="1" pivotButton="0" quotePrefix="0" xfId="0">
      <alignment vertical="top" wrapText="1"/>
    </xf>
    <xf numFmtId="165" fontId="8" fillId="3" borderId="1" pivotButton="0" quotePrefix="0" xfId="0"/>
    <xf numFmtId="166" fontId="8" fillId="3" borderId="1" pivotButton="0" quotePrefix="0" xfId="0"/>
    <xf numFmtId="0" fontId="10" fillId="0" borderId="1" pivotButton="0" quotePrefix="0" xfId="0"/>
    <xf numFmtId="1" fontId="4" fillId="0" borderId="1" pivotButton="0" quotePrefix="0" xfId="0"/>
    <xf numFmtId="0" fontId="4" fillId="0" borderId="1" pivotButton="0" quotePrefix="0" xfId="0"/>
    <xf numFmtId="164" fontId="10" fillId="0" borderId="1" pivotButton="0" quotePrefix="0" xfId="0"/>
    <xf numFmtId="164" fontId="3" fillId="0" borderId="1" pivotButton="0" quotePrefix="0" xfId="0"/>
    <xf numFmtId="0" fontId="3" fillId="6" borderId="1" pivotButton="0" quotePrefix="0" xfId="0"/>
    <xf numFmtId="164" fontId="4" fillId="6" borderId="1" pivotButton="0" quotePrefix="0" xfId="0"/>
    <xf numFmtId="164" fontId="3" fillId="6" borderId="1" pivotButton="0" quotePrefix="0" xfId="0"/>
    <xf numFmtId="0" fontId="4" fillId="5" borderId="1" pivotButton="0" quotePrefix="0" xfId="0"/>
    <xf numFmtId="164" fontId="4" fillId="5" borderId="1" pivotButton="0" quotePrefix="0" xfId="0"/>
    <xf numFmtId="164" fontId="3" fillId="5" borderId="1" pivotButton="0" quotePrefix="0" xfId="0"/>
    <xf numFmtId="0" fontId="3" fillId="4" borderId="1" pivotButton="0" quotePrefix="0" xfId="0"/>
    <xf numFmtId="0" fontId="3" fillId="5" borderId="0" pivotButton="0" quotePrefix="0" xfId="0"/>
    <xf numFmtId="0" fontId="0" fillId="4" borderId="1" pivotButton="0" quotePrefix="0" xfId="0"/>
    <xf numFmtId="164" fontId="10" fillId="4" borderId="1" pivotButton="0" quotePrefix="0" xfId="0"/>
    <xf numFmtId="0" fontId="3" fillId="0" borderId="1" pivotButton="0" quotePrefix="0" xfId="0"/>
    <xf numFmtId="1" fontId="11" fillId="0" borderId="1" pivotButton="0" quotePrefix="0" xfId="0"/>
    <xf numFmtId="1" fontId="11" fillId="6" borderId="1" pivotButton="0" quotePrefix="0" xfId="0"/>
    <xf numFmtId="167" fontId="4" fillId="0" borderId="1" pivotButton="0" quotePrefix="0" xfId="0"/>
    <xf numFmtId="0" fontId="12" fillId="0" borderId="1" pivotButton="0" quotePrefix="0" xfId="0"/>
    <xf numFmtId="0" fontId="0" fillId="0" borderId="1" pivotButton="0" quotePrefix="0" xfId="0"/>
    <xf numFmtId="0" fontId="5" fillId="6" borderId="0" pivotButton="0" quotePrefix="0" xfId="0"/>
    <xf numFmtId="0" fontId="0" fillId="6" borderId="0" pivotButton="0" quotePrefix="0" xfId="0"/>
    <xf numFmtId="0" fontId="9" fillId="0" borderId="0" applyAlignment="1" pivotButton="0" quotePrefix="0" xfId="0">
      <alignment vertical="top" wrapText="1"/>
    </xf>
    <xf numFmtId="0" fontId="15" fillId="0" borderId="0" applyAlignment="1" pivotButton="0" quotePrefix="0" xfId="0">
      <alignment vertical="top" wrapText="1"/>
    </xf>
    <xf numFmtId="0" fontId="12" fillId="0" borderId="0" pivotButton="0" quotePrefix="0" xfId="0"/>
    <xf numFmtId="168" fontId="4" fillId="0" borderId="1" pivotButton="0" quotePrefix="0" xfId="0"/>
    <xf numFmtId="0" fontId="3" fillId="0" borderId="1" applyAlignment="1" pivotButton="0" quotePrefix="0" xfId="0">
      <alignment horizontal="center"/>
    </xf>
    <xf numFmtId="167" fontId="8" fillId="3" borderId="1" pivotButton="0" quotePrefix="0" xfId="0"/>
    <xf numFmtId="3" fontId="8" fillId="3" borderId="1" pivotButton="0" quotePrefix="0" xfId="0"/>
    <xf numFmtId="167" fontId="10" fillId="0" borderId="1" pivotButton="0" quotePrefix="0" xfId="0"/>
    <xf numFmtId="3" fontId="4" fillId="0" borderId="1" pivotButton="0" quotePrefix="0" xfId="0"/>
    <xf numFmtId="3" fontId="3" fillId="5" borderId="1" applyAlignment="1" pivotButton="0" quotePrefix="0" xfId="0">
      <alignment vertical="top"/>
    </xf>
    <xf numFmtId="164" fontId="3" fillId="5" borderId="1" applyAlignment="1" pivotButton="0" quotePrefix="0" xfId="0">
      <alignment vertical="top"/>
    </xf>
    <xf numFmtId="0" fontId="16" fillId="0" borderId="0" pivotButton="0" quotePrefix="0" xfId="0"/>
    <xf numFmtId="0" fontId="3" fillId="5" borderId="1" applyAlignment="1" pivotButton="0" quotePrefix="0" xfId="0">
      <alignment vertical="top" wrapText="1"/>
    </xf>
    <xf numFmtId="0" fontId="14" fillId="5" borderId="1" applyAlignment="1" pivotButton="0" quotePrefix="0" xfId="0">
      <alignment vertical="top"/>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showGridLines="0" workbookViewId="0">
      <selection activeCell="A1" sqref="A1"/>
    </sheetView>
  </sheetViews>
  <sheetFormatPr baseColWidth="8" defaultRowHeight="15"/>
  <cols>
    <col width="3" customWidth="1" min="1" max="1"/>
    <col width="30" customWidth="1" min="2" max="2"/>
    <col width="95" customWidth="1" min="3" max="3"/>
  </cols>
  <sheetData>
    <row r="1">
      <c r="A1" s="1" t="inlineStr">
        <is>
          <t>McCahill &amp; Co. — Cash Position &amp; Planning Model</t>
        </is>
      </c>
    </row>
    <row r="2">
      <c r="A2" s="2" t="inlineStr">
        <is>
          <t>Paste your bank data into TRANSACTIONS. Everything else calculates. Nothing here is filled with real numbers yet.</t>
        </is>
      </c>
    </row>
    <row r="4">
      <c r="B4" s="3" t="inlineStr">
        <is>
          <t>HOW TO USE THIS</t>
        </is>
      </c>
      <c r="C4" s="4" t="inlineStr"/>
    </row>
    <row r="5">
      <c r="B5" s="5" t="inlineStr">
        <is>
          <t>Step 1</t>
        </is>
      </c>
      <c r="C5" s="4" t="inlineStr">
        <is>
          <t>ACCOUNT MAP — list every account you have and say which entity owns it. Enter the balance immediately before Feb 1. Nothing works until this is done.</t>
        </is>
      </c>
    </row>
    <row r="6">
      <c r="B6" s="5" t="inlineStr">
        <is>
          <t>Step 2</t>
        </is>
      </c>
      <c r="C6" s="4" t="inlineStr">
        <is>
          <t>TRANSACTIONS — paste every bank line from every account. One row per transaction. Money IN is positive, money OUT is negative.</t>
        </is>
      </c>
    </row>
    <row r="7">
      <c r="B7" s="5" t="inlineStr">
        <is>
          <t>Step 3</t>
        </is>
      </c>
      <c r="C7" s="4" t="inlineStr">
        <is>
          <t>TRANSACTIONS column F — pick a category for each row from the dropdown. This is the only real work. Anything you are unsure of, pick '! UNCLEAR - NEEDS REVIEW'.</t>
        </is>
      </c>
    </row>
    <row r="8">
      <c r="B8" s="5" t="inlineStr">
        <is>
          <t>Step 4</t>
        </is>
      </c>
      <c r="C8" s="4" t="inlineStr">
        <is>
          <t>TRANSACTIONS column H — for any transfer between your own accounts, put the SAME pair id (T1, T2, T3...) on both sides. This is what stops transfers being counted as income.</t>
        </is>
      </c>
    </row>
    <row r="9">
      <c r="B9" s="5" t="inlineStr">
        <is>
          <t>Step 5</t>
        </is>
      </c>
      <c r="C9" s="4" t="inlineStr">
        <is>
          <t>Read CASH RECONCILIATION. If ending cash does not match your real bank balance, the gap is listed on FLAGS. Fix it there, do not force it.</t>
        </is>
      </c>
    </row>
    <row r="10">
      <c r="B10" s="3" t="inlineStr"/>
      <c r="C10" s="4" t="inlineStr"/>
    </row>
    <row r="11">
      <c r="B11" s="3" t="inlineStr">
        <is>
          <t>COLOUR CODE</t>
        </is>
      </c>
      <c r="C11" s="4" t="inlineStr"/>
    </row>
    <row r="12">
      <c r="B12" s="5" t="inlineStr">
        <is>
          <t>Yellow fill</t>
        </is>
      </c>
      <c r="C12" s="4" t="inlineStr">
        <is>
          <t>You fill this in.</t>
        </is>
      </c>
    </row>
    <row r="13">
      <c r="B13" s="5" t="inlineStr">
        <is>
          <t>Blue text</t>
        </is>
      </c>
      <c r="C13" s="4" t="inlineStr">
        <is>
          <t>A number you typed. Change it freely.</t>
        </is>
      </c>
    </row>
    <row r="14">
      <c r="B14" s="5" t="inlineStr">
        <is>
          <t>Black text</t>
        </is>
      </c>
      <c r="C14" s="4" t="inlineStr">
        <is>
          <t>A formula. Do not overwrite it.</t>
        </is>
      </c>
    </row>
    <row r="15">
      <c r="B15" s="5" t="inlineStr">
        <is>
          <t>Green text</t>
        </is>
      </c>
      <c r="C15" s="4" t="inlineStr">
        <is>
          <t>Pulled from another tab.</t>
        </is>
      </c>
    </row>
    <row r="16">
      <c r="B16" s="3" t="inlineStr"/>
      <c r="C16" s="4" t="inlineStr"/>
    </row>
    <row r="17">
      <c r="B17" s="3" t="inlineStr">
        <is>
          <t>THE RULES THIS MODEL ENFORCES</t>
        </is>
      </c>
      <c r="C17" s="4" t="inlineStr"/>
    </row>
    <row r="18">
      <c r="B18" s="5" t="inlineStr">
        <is>
          <t>Transfers</t>
        </is>
      </c>
      <c r="C18" s="4" t="inlineStr">
        <is>
          <t>Money moved between your own accounts is never revenue and never an expense. It changes ending cash only.</t>
        </is>
      </c>
    </row>
    <row r="19">
      <c r="B19" s="5" t="inlineStr">
        <is>
          <t>GST</t>
        </is>
      </c>
      <c r="C19" s="4" t="inlineStr">
        <is>
          <t>GST collected is not revenue. It is money you are holding for CRA. Enter it in column J and it is stripped out of the revenue figures.</t>
        </is>
      </c>
    </row>
    <row r="20">
      <c r="B20" s="5" t="inlineStr">
        <is>
          <t>Receivables</t>
        </is>
      </c>
      <c r="C20" s="4" t="inlineStr">
        <is>
          <t>Unpaid invoices are not cash. Only money that has actually landed in an account belongs in TRANSACTIONS.</t>
        </is>
      </c>
    </row>
    <row r="21">
      <c r="B21" s="5" t="inlineStr">
        <is>
          <t>Non-cash assets</t>
        </is>
      </c>
      <c r="C21" s="4" t="inlineStr">
        <is>
          <t>Vehicles, equipment, tools and inventory are not liquid cash. They appear in planning, never in the cash total.</t>
        </is>
      </c>
    </row>
    <row r="22">
      <c r="B22" s="5" t="inlineStr">
        <is>
          <t>Cash is not profit</t>
        </is>
      </c>
      <c r="C22" s="4" t="inlineStr">
        <is>
          <t>Ending cash reflects loan payments, owner draws, GST timing and equipment purchases. BUSINESS PERFORMANCE shows the difference.</t>
        </is>
      </c>
    </row>
    <row r="23">
      <c r="B23" s="5" t="inlineStr">
        <is>
          <t>Entity separation</t>
        </is>
      </c>
      <c r="C23" s="4" t="inlineStr">
        <is>
          <t>Sole prop (Feb 1 - Jun 30) and corporation (Jul 1 - Jan 31) are never combined. They are legally different taxpayers.</t>
        </is>
      </c>
    </row>
    <row r="24">
      <c r="B24" s="3" t="inlineStr"/>
      <c r="C24" s="4" t="inlineStr"/>
    </row>
    <row r="25">
      <c r="B25" s="3" t="inlineStr">
        <is>
          <t>TABS</t>
        </is>
      </c>
      <c r="C25" s="4" t="inlineStr"/>
    </row>
    <row r="26">
      <c r="B26" s="5" t="inlineStr">
        <is>
          <t>ACCOUNT MAP</t>
        </is>
      </c>
      <c r="C26" s="4" t="inlineStr">
        <is>
          <t>Your accounts, their entity, and opening balances.</t>
        </is>
      </c>
    </row>
    <row r="27">
      <c r="B27" s="5" t="inlineStr">
        <is>
          <t>CATEGORIES</t>
        </is>
      </c>
      <c r="C27" s="4" t="inlineStr">
        <is>
          <t>The category list and what each one counts as. Reference only.</t>
        </is>
      </c>
    </row>
    <row r="28">
      <c r="B28" s="5" t="inlineStr">
        <is>
          <t>TRANSACTIONS</t>
        </is>
      </c>
      <c r="C28" s="4" t="inlineStr">
        <is>
          <t>Where your data goes.</t>
        </is>
      </c>
    </row>
    <row r="29">
      <c r="B29" s="5" t="inlineStr">
        <is>
          <t>CASH RECONCILIATION</t>
        </is>
      </c>
      <c r="C29" s="4" t="inlineStr">
        <is>
          <t>Opening + in - out = closing, per entity. The core check.</t>
        </is>
      </c>
    </row>
    <row r="30">
      <c r="B30" s="5" t="inlineStr">
        <is>
          <t>MONTH BY MONTH</t>
        </is>
      </c>
      <c r="C30" s="4" t="inlineStr">
        <is>
          <t>Feb through Jan, split sole prop / corp / personal.</t>
        </is>
      </c>
    </row>
    <row r="31">
      <c r="B31" s="5" t="inlineStr">
        <is>
          <t>BUSINESS PERFORMANCE</t>
        </is>
      </c>
      <c r="C31" s="4" t="inlineStr">
        <is>
          <t>Sole prop vs corporation, GST stripped out.</t>
        </is>
      </c>
    </row>
    <row r="32">
      <c r="B32" s="5" t="inlineStr">
        <is>
          <t>CASH QUALITY</t>
        </is>
      </c>
      <c r="C32" s="4" t="inlineStr">
        <is>
          <t>Burn rate, runway, tax reserve, deployable capital.</t>
        </is>
      </c>
    </row>
    <row r="33">
      <c r="B33" s="5" t="inlineStr">
        <is>
          <t>VEHICLE SCENARIOS</t>
        </is>
      </c>
      <c r="C33" s="4" t="inlineStr">
        <is>
          <t>What a $20k / $30k / $40k / $50k purchase does to your reserves.</t>
        </is>
      </c>
    </row>
    <row r="34">
      <c r="B34" s="5" t="inlineStr">
        <is>
          <t>SCENARIOS</t>
        </is>
      </c>
      <c r="C34" s="4" t="inlineStr">
        <is>
          <t>Conservative / base / aggressive for next season.</t>
        </is>
      </c>
    </row>
    <row r="35">
      <c r="B35" s="5" t="inlineStr">
        <is>
          <t>FLAGS</t>
        </is>
      </c>
      <c r="C35" s="4" t="inlineStr">
        <is>
          <t>Everything that does not tie, is uncategorised, or needs your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5" customWidth="1" min="1" max="1"/>
    <col width="44" customWidth="1" min="2" max="2"/>
    <col width="14" customWidth="1" min="3" max="3"/>
    <col width="12" customWidth="1" min="4" max="4"/>
    <col width="66" customWidth="1" min="5" max="5"/>
  </cols>
  <sheetData>
    <row r="1">
      <c r="A1" s="1" t="inlineStr">
        <is>
          <t>Assumptions &amp; Rates</t>
        </is>
      </c>
    </row>
    <row r="2">
      <c r="A2" s="2" t="inlineStr">
        <is>
          <t>Blue cells are levers — change them and the whole model moves. Anything marked VERIFY must be checked against the current CRA figure before you rely on it.</t>
        </is>
      </c>
    </row>
    <row r="4" ht="30" customHeight="1">
      <c r="A4" s="6" t="inlineStr">
        <is>
          <t>#</t>
        </is>
      </c>
      <c r="B4" s="6" t="inlineStr">
        <is>
          <t>Assumption</t>
        </is>
      </c>
      <c r="C4" s="6" t="inlineStr">
        <is>
          <t>Value</t>
        </is>
      </c>
      <c r="D4" s="6" t="inlineStr">
        <is>
          <t>Status</t>
        </is>
      </c>
      <c r="E4" s="6" t="inlineStr">
        <is>
          <t>Where it came from / what to check</t>
        </is>
      </c>
    </row>
    <row r="5">
      <c r="A5" s="7" t="n">
        <v>1</v>
      </c>
      <c r="B5" s="7" t="inlineStr">
        <is>
          <t>Business start date</t>
        </is>
      </c>
      <c r="C5" s="8" t="inlineStr">
        <is>
          <t>2026-02-01</t>
        </is>
      </c>
      <c r="D5" s="9" t="inlineStr">
        <is>
          <t>Confirmed</t>
        </is>
      </c>
      <c r="E5" s="10" t="inlineStr">
        <is>
          <t>You confirmed Feb 2026 is the start of operations.</t>
        </is>
      </c>
    </row>
    <row r="6">
      <c r="A6" s="7" t="n">
        <v>2</v>
      </c>
      <c r="B6" s="7" t="inlineStr">
        <is>
          <t>Sole prop period ends</t>
        </is>
      </c>
      <c r="C6" s="8" t="inlineStr">
        <is>
          <t>2026-06-30</t>
        </is>
      </c>
      <c r="D6" s="9" t="inlineStr">
        <is>
          <t>Confirmed</t>
        </is>
      </c>
      <c r="E6" s="10" t="inlineStr"/>
    </row>
    <row r="7">
      <c r="A7" s="7" t="n">
        <v>3</v>
      </c>
      <c r="B7" s="7" t="inlineStr">
        <is>
          <t>Corporation period starts</t>
        </is>
      </c>
      <c r="C7" s="8" t="inlineStr">
        <is>
          <t>2026-07-01</t>
        </is>
      </c>
      <c r="D7" s="9" t="inlineStr">
        <is>
          <t>Confirmed</t>
        </is>
      </c>
      <c r="E7" s="10" t="inlineStr"/>
    </row>
    <row r="8">
      <c r="A8" s="7" t="n">
        <v>4</v>
      </c>
      <c r="B8" s="7" t="inlineStr">
        <is>
          <t>Corporate fiscal year end</t>
        </is>
      </c>
      <c r="C8" s="8" t="inlineStr">
        <is>
          <t>2027-01-31</t>
        </is>
      </c>
      <c r="D8" s="9" t="inlineStr">
        <is>
          <t>Your choice</t>
        </is>
      </c>
      <c r="E8" s="10" t="inlineStr">
        <is>
          <t>You chose Jan 31. Confirm this is what was actually filed — it is set at incorporation and drives every tax deadline.</t>
        </is>
      </c>
    </row>
    <row r="9">
      <c r="A9" s="7" t="n">
        <v>5</v>
      </c>
      <c r="B9" s="7" t="inlineStr">
        <is>
          <t>Crew wage — Kierran</t>
        </is>
      </c>
      <c r="C9" s="11" t="n">
        <v>27</v>
      </c>
      <c r="D9" s="9" t="inlineStr">
        <is>
          <t>Confirmed</t>
        </is>
      </c>
      <c r="E9" s="10" t="inlineStr">
        <is>
          <t>You confirmed $27.00/hr.</t>
        </is>
      </c>
    </row>
    <row r="10">
      <c r="A10" s="7" t="n">
        <v>6</v>
      </c>
      <c r="B10" s="7" t="inlineStr">
        <is>
          <t>Owner draw from corporation, per month</t>
        </is>
      </c>
      <c r="C10" s="12" t="n">
        <v>4000</v>
      </c>
      <c r="D10" s="9" t="inlineStr">
        <is>
          <t>Confirmed</t>
        </is>
      </c>
      <c r="E10" s="10" t="inlineStr">
        <is>
          <t>You confirmed $4,000/month since July 1. Currently a shareholder loan unless declared as salary or dividend.</t>
        </is>
      </c>
    </row>
    <row r="11">
      <c r="A11" s="7" t="n">
        <v>7</v>
      </c>
      <c r="B11" s="7" t="inlineStr">
        <is>
          <t>GST rate</t>
        </is>
      </c>
      <c r="C11" s="13" t="n">
        <v>0.05</v>
      </c>
      <c r="D11" s="9" t="inlineStr">
        <is>
          <t>Confirmed</t>
        </is>
      </c>
      <c r="E11" s="10" t="inlineStr">
        <is>
          <t>BC — GST only on landscaping services. No PST on the service itself.</t>
        </is>
      </c>
    </row>
    <row r="12">
      <c r="A12" s="7" t="n">
        <v>8</v>
      </c>
      <c r="B12" s="7" t="inlineStr">
        <is>
          <t>CPP contribution rate (employee)</t>
        </is>
      </c>
      <c r="C12" s="13" t="n">
        <v>0.0595</v>
      </c>
      <c r="D12" s="14" t="inlineStr">
        <is>
          <t>VERIFY</t>
        </is>
      </c>
      <c r="E12" s="10" t="inlineStr">
        <is>
          <t>2025 rate shown. Confirm the 2026 rate at canada.ca before relying on the liability estimate.</t>
        </is>
      </c>
    </row>
    <row r="13">
      <c r="A13" s="7" t="n">
        <v>9</v>
      </c>
      <c r="B13" s="7" t="inlineStr">
        <is>
          <t>CPP basic exemption (annual)</t>
        </is>
      </c>
      <c r="C13" s="12" t="n">
        <v>3500</v>
      </c>
      <c r="D13" s="14" t="inlineStr">
        <is>
          <t>VERIFY</t>
        </is>
      </c>
      <c r="E13" s="10" t="inlineStr">
        <is>
          <t>2025 figure. Confirm 2026.</t>
        </is>
      </c>
    </row>
    <row r="14">
      <c r="A14" s="7" t="n">
        <v>10</v>
      </c>
      <c r="B14" s="7" t="inlineStr">
        <is>
          <t>EI premium rate (employee)</t>
        </is>
      </c>
      <c r="C14" s="13" t="n">
        <v>0.0164</v>
      </c>
      <c r="D14" s="14" t="inlineStr">
        <is>
          <t>VERIFY</t>
        </is>
      </c>
      <c r="E14" s="10" t="inlineStr">
        <is>
          <t>2025 rate. Confirm 2026.</t>
        </is>
      </c>
    </row>
    <row r="15">
      <c r="A15" s="7" t="n">
        <v>11</v>
      </c>
      <c r="B15" s="7" t="inlineStr">
        <is>
          <t>EI employer multiplier</t>
        </is>
      </c>
      <c r="C15" s="15" t="n">
        <v>1.4</v>
      </c>
      <c r="D15" s="14" t="inlineStr">
        <is>
          <t>VERIFY</t>
        </is>
      </c>
      <c r="E15" s="10" t="inlineStr">
        <is>
          <t>Employer pays 1.4x the employee premium. Confirm.</t>
        </is>
      </c>
    </row>
    <row r="16">
      <c r="A16" s="7" t="n">
        <v>12</v>
      </c>
      <c r="B16" s="7" t="inlineStr">
        <is>
          <t>Income tax withheld — estimated rate</t>
        </is>
      </c>
      <c r="C16" s="13" t="n">
        <v>0.12</v>
      </c>
      <c r="D16" s="14" t="inlineStr">
        <is>
          <t>ESTIMATE</t>
        </is>
      </c>
      <c r="E16" s="10" t="inlineStr">
        <is>
          <t>A rough blended rate for a BC employee at this wage. Replace with the actual figure from your payroll calculation.</t>
        </is>
      </c>
    </row>
    <row r="17">
      <c r="A17" s="7" t="n">
        <v>13</v>
      </c>
      <c r="B17" s="7" t="inlineStr">
        <is>
          <t>Late remittance penalty rate</t>
        </is>
      </c>
      <c r="C17" s="13" t="n">
        <v>0.1</v>
      </c>
      <c r="D17" s="14" t="inlineStr">
        <is>
          <t>ESTIMATE</t>
        </is>
      </c>
      <c r="E17" s="10" t="inlineStr">
        <is>
          <t>CRA charges 10% on a first failure to remit, 20% if repeated or grossly negligent. Interest accrues on top.</t>
        </is>
      </c>
    </row>
    <row r="18">
      <c r="A18" s="7" t="n">
        <v>14</v>
      </c>
      <c r="B18" s="7" t="inlineStr">
        <is>
          <t>Corporate small business tax rate (BC)</t>
        </is>
      </c>
      <c r="C18" s="13" t="n">
        <v>0.11</v>
      </c>
      <c r="D18" s="14" t="inlineStr">
        <is>
          <t>ESTIMATE</t>
        </is>
      </c>
      <c r="E18" s="10" t="inlineStr">
        <is>
          <t>Roughly 9% federal + 2% BC on active business income under the small business limit. Confirm with your accountant.</t>
        </is>
      </c>
    </row>
    <row r="19">
      <c r="A19" s="7" t="n">
        <v>15</v>
      </c>
      <c r="B19" s="7" t="inlineStr">
        <is>
          <t>Personal tax reserve rate (sole prop income)</t>
        </is>
      </c>
      <c r="C19" s="13" t="n">
        <v>0.25</v>
      </c>
      <c r="D19" s="14" t="inlineStr">
        <is>
          <t>ESTIMATE</t>
        </is>
      </c>
      <c r="E19" s="10" t="inlineStr">
        <is>
          <t>A holding rate until your actual return is prepared. Your real rate depends on total income and credits.</t>
        </is>
      </c>
    </row>
    <row r="20">
      <c r="A20" s="7" t="n">
        <v>16</v>
      </c>
      <c r="B20" s="7" t="inlineStr">
        <is>
          <t>Target operating reserve (months)</t>
        </is>
      </c>
      <c r="C20" s="15" t="n">
        <v>3</v>
      </c>
      <c r="D20" s="9" t="inlineStr">
        <is>
          <t>Your lever</t>
        </is>
      </c>
      <c r="E20" s="10" t="inlineStr">
        <is>
          <t>Months of payroll plus fixed costs to keep untouched. 3 is a common floor for seasonal trades.</t>
        </is>
      </c>
    </row>
    <row r="21">
      <c r="A21" s="7" t="n">
        <v>17</v>
      </c>
      <c r="B21" s="7" t="inlineStr">
        <is>
          <t>Months of the year that generate revenue</t>
        </is>
      </c>
      <c r="C21" s="15" t="n">
        <v>9</v>
      </c>
      <c r="D21" s="9" t="inlineStr">
        <is>
          <t>Your lever</t>
        </is>
      </c>
      <c r="E21" s="10" t="inlineStr">
        <is>
          <t>Landscaping in Victoria. Drives the winter burn calculation.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showGridLines="0" workbookViewId="0">
      <selection activeCell="A1" sqref="A1"/>
    </sheetView>
  </sheetViews>
  <sheetFormatPr baseColWidth="8" defaultRowHeight="15"/>
  <cols>
    <col width="42" customWidth="1" min="1" max="1"/>
    <col width="20" customWidth="1" min="2" max="2"/>
    <col width="16" customWidth="1" min="3" max="3"/>
    <col width="18" customWidth="1" min="4" max="4"/>
    <col width="20" customWidth="1" min="5" max="5"/>
    <col width="10" customWidth="1" min="6" max="6"/>
    <col width="40" customWidth="1" min="7" max="7"/>
  </cols>
  <sheetData>
    <row r="1">
      <c r="A1" s="1" t="inlineStr">
        <is>
          <t>Account Map</t>
        </is>
      </c>
    </row>
    <row r="2">
      <c r="A2" s="2" t="inlineStr">
        <is>
          <t>Every account you hold. Yellow cells are yours to fill. The entity you assign here drives the entire model.</t>
        </is>
      </c>
    </row>
    <row r="4" ht="30" customHeight="1">
      <c r="A4" s="6" t="inlineStr">
        <is>
          <t>Account name (use this exact name in TRANSACTIONS)</t>
        </is>
      </c>
      <c r="B4" s="6" t="inlineStr">
        <is>
          <t>Bank / institution</t>
        </is>
      </c>
      <c r="C4" s="6" t="inlineStr">
        <is>
          <t>Entity</t>
        </is>
      </c>
      <c r="D4" s="6" t="inlineStr">
        <is>
          <t>Account type</t>
        </is>
      </c>
      <c r="E4" s="6" t="inlineStr">
        <is>
          <t>Balance immediately before Feb 1</t>
        </is>
      </c>
      <c r="F4" s="6" t="inlineStr">
        <is>
          <t>Liquid?</t>
        </is>
      </c>
      <c r="G4" s="6" t="inlineStr">
        <is>
          <t>Notes</t>
        </is>
      </c>
    </row>
    <row r="5">
      <c r="A5" s="16" t="inlineStr">
        <is>
          <t>EXAMPLE - BMO Business Chq 1234</t>
        </is>
      </c>
      <c r="B5" s="16" t="inlineStr">
        <is>
          <t>BMO</t>
        </is>
      </c>
      <c r="C5" s="16" t="inlineStr">
        <is>
          <t>Sole Prop</t>
        </is>
      </c>
      <c r="D5" s="16" t="inlineStr">
        <is>
          <t>Chequing</t>
        </is>
      </c>
      <c r="E5" s="17" t="n">
        <v>0</v>
      </c>
      <c r="F5" s="16" t="inlineStr">
        <is>
          <t>Yes</t>
        </is>
      </c>
      <c r="G5" s="16" t="inlineStr">
        <is>
          <t>Delete this row once you add your own</t>
        </is>
      </c>
    </row>
    <row r="6">
      <c r="A6" s="18" t="inlineStr">
        <is>
          <t>EQ - Sole Prop Chequing</t>
        </is>
      </c>
      <c r="B6" s="18" t="inlineStr">
        <is>
          <t>EQ Bank</t>
        </is>
      </c>
      <c r="C6" s="18" t="inlineStr">
        <is>
          <t>Sole Prop</t>
        </is>
      </c>
      <c r="D6" s="18" t="inlineStr">
        <is>
          <t>Chequing</t>
        </is>
      </c>
      <c r="E6" s="19" t="n">
        <v>0</v>
      </c>
      <c r="F6" s="18" t="inlineStr">
        <is>
          <t>Yes</t>
        </is>
      </c>
      <c r="G6" s="20" t="inlineStr">
        <is>
          <t>Statements Feb 9 - Aug 31, 2026 loaded. Opening balance $0.00 - first transaction Feb 9 established the account.</t>
        </is>
      </c>
    </row>
    <row r="7">
      <c r="A7" s="18" t="inlineStr">
        <is>
          <t>EQ - Corporation Chequing</t>
        </is>
      </c>
      <c r="B7" s="18" t="inlineStr">
        <is>
          <t>EQ Bank</t>
        </is>
      </c>
      <c r="C7" s="18" t="inlineStr">
        <is>
          <t>Corporation</t>
        </is>
      </c>
      <c r="D7" s="18" t="inlineStr">
        <is>
          <t>Chequing</t>
        </is>
      </c>
      <c r="E7" s="19" t="n">
        <v>0</v>
      </c>
      <c r="F7" s="18" t="inlineStr">
        <is>
          <t>Yes</t>
        </is>
      </c>
      <c r="G7" s="20" t="inlineStr">
        <is>
          <t>Statement Aug 28 - Aug 31, 2026 loaded. Account opened Aug 28, NOT July 1.</t>
        </is>
      </c>
    </row>
    <row r="8">
      <c r="A8" s="18" t="inlineStr">
        <is>
          <t>TD - Personal Chequing</t>
        </is>
      </c>
      <c r="B8" s="18" t="inlineStr">
        <is>
          <t>TD</t>
        </is>
      </c>
      <c r="C8" s="18" t="inlineStr">
        <is>
          <t>Personal</t>
        </is>
      </c>
      <c r="D8" s="18" t="inlineStr">
        <is>
          <t>Chequing</t>
        </is>
      </c>
      <c r="E8" s="19" t="n"/>
      <c r="F8" s="18" t="inlineStr">
        <is>
          <t>Yes</t>
        </is>
      </c>
      <c r="G8" s="20" t="inlineStr">
        <is>
          <t>ENTER your TD balance as at Jan 31, 2026.</t>
        </is>
      </c>
    </row>
    <row r="9">
      <c r="A9" s="18" t="inlineStr">
        <is>
          <t>Wealthsimple - Investments</t>
        </is>
      </c>
      <c r="B9" s="18" t="inlineStr">
        <is>
          <t>Wealthsimple</t>
        </is>
      </c>
      <c r="C9" s="18" t="inlineStr">
        <is>
          <t>Personal</t>
        </is>
      </c>
      <c r="D9" s="18" t="inlineStr">
        <is>
          <t>Investment</t>
        </is>
      </c>
      <c r="E9" s="19" t="n"/>
      <c r="F9" s="18" t="inlineStr">
        <is>
          <t>Partly</t>
        </is>
      </c>
      <c r="G9" s="20" t="inlineStr">
        <is>
          <t>ENTER balance at Jan 31, 2026. Set Liquid to Yes only if you would genuinely sell. Confirm registered vs non-registered.</t>
        </is>
      </c>
    </row>
    <row r="10">
      <c r="A10" s="21" t="n"/>
      <c r="B10" s="21" t="n"/>
      <c r="C10" s="21" t="n"/>
      <c r="D10" s="21" t="n"/>
      <c r="E10" s="19" t="n"/>
      <c r="F10" s="21" t="n"/>
      <c r="G10" s="21" t="n"/>
    </row>
    <row r="11">
      <c r="A11" s="21" t="n"/>
      <c r="B11" s="21" t="n"/>
      <c r="C11" s="21" t="n"/>
      <c r="D11" s="21" t="n"/>
      <c r="E11" s="19" t="n"/>
      <c r="F11" s="21" t="n"/>
      <c r="G11" s="21" t="n"/>
    </row>
    <row r="12">
      <c r="A12" s="21" t="n"/>
      <c r="B12" s="21" t="n"/>
      <c r="C12" s="21" t="n"/>
      <c r="D12" s="21" t="n"/>
      <c r="E12" s="19" t="n"/>
      <c r="F12" s="21" t="n"/>
      <c r="G12" s="21" t="n"/>
    </row>
    <row r="13">
      <c r="A13" s="21" t="n"/>
      <c r="B13" s="21" t="n"/>
      <c r="C13" s="21" t="n"/>
      <c r="D13" s="21" t="n"/>
      <c r="E13" s="19" t="n"/>
      <c r="F13" s="21" t="n"/>
      <c r="G13" s="21" t="n"/>
    </row>
    <row r="14">
      <c r="A14" s="21" t="n"/>
      <c r="B14" s="21" t="n"/>
      <c r="C14" s="21" t="n"/>
      <c r="D14" s="21" t="n"/>
      <c r="E14" s="19" t="n"/>
      <c r="F14" s="21" t="n"/>
      <c r="G14" s="21" t="n"/>
    </row>
    <row r="15">
      <c r="A15" s="21" t="n"/>
      <c r="B15" s="21" t="n"/>
      <c r="C15" s="21" t="n"/>
      <c r="D15" s="21" t="n"/>
      <c r="E15" s="19" t="n"/>
      <c r="F15" s="21" t="n"/>
      <c r="G15" s="21" t="n"/>
    </row>
    <row r="16">
      <c r="A16" s="21" t="n"/>
      <c r="B16" s="21" t="n"/>
      <c r="C16" s="21" t="n"/>
      <c r="D16" s="21" t="n"/>
      <c r="E16" s="19" t="n"/>
      <c r="F16" s="21" t="n"/>
      <c r="G16" s="21" t="n"/>
    </row>
    <row r="17">
      <c r="A17" s="21" t="n"/>
      <c r="B17" s="21" t="n"/>
      <c r="C17" s="21" t="n"/>
      <c r="D17" s="21" t="n"/>
      <c r="E17" s="19" t="n"/>
      <c r="F17" s="21" t="n"/>
      <c r="G17" s="21" t="n"/>
    </row>
    <row r="18">
      <c r="A18" s="21" t="n"/>
      <c r="B18" s="21" t="n"/>
      <c r="C18" s="21" t="n"/>
      <c r="D18" s="21" t="n"/>
      <c r="E18" s="19" t="n"/>
      <c r="F18" s="21" t="n"/>
      <c r="G18" s="21" t="n"/>
    </row>
    <row r="19">
      <c r="A19" s="21" t="n"/>
      <c r="B19" s="21" t="n"/>
      <c r="C19" s="21" t="n"/>
      <c r="D19" s="21" t="n"/>
      <c r="E19" s="19" t="n"/>
      <c r="F19" s="21" t="n"/>
      <c r="G19" s="21" t="n"/>
    </row>
    <row r="20">
      <c r="A20" s="21" t="n"/>
      <c r="B20" s="21" t="n"/>
      <c r="C20" s="21" t="n"/>
      <c r="D20" s="21" t="n"/>
      <c r="E20" s="19" t="n"/>
      <c r="F20" s="21" t="n"/>
      <c r="G20" s="21" t="n"/>
    </row>
    <row r="21">
      <c r="A21" s="21" t="n"/>
      <c r="B21" s="21" t="n"/>
      <c r="C21" s="21" t="n"/>
      <c r="D21" s="21" t="n"/>
      <c r="E21" s="19" t="n"/>
      <c r="F21" s="21" t="n"/>
      <c r="G21" s="21" t="n"/>
    </row>
    <row r="22">
      <c r="A22" s="21" t="n"/>
      <c r="B22" s="21" t="n"/>
      <c r="C22" s="21" t="n"/>
      <c r="D22" s="21" t="n"/>
      <c r="E22" s="19" t="n"/>
      <c r="F22" s="21" t="n"/>
      <c r="G22" s="21" t="n"/>
    </row>
    <row r="23">
      <c r="A23" s="21" t="n"/>
      <c r="B23" s="21" t="n"/>
      <c r="C23" s="21" t="n"/>
      <c r="D23" s="21" t="n"/>
      <c r="E23" s="19" t="n"/>
      <c r="F23" s="21" t="n"/>
      <c r="G23" s="21" t="n"/>
    </row>
    <row r="24">
      <c r="A24" s="21" t="n"/>
      <c r="B24" s="21" t="n"/>
      <c r="C24" s="21" t="n"/>
      <c r="D24" s="21" t="n"/>
      <c r="E24" s="19" t="n"/>
      <c r="F24" s="21" t="n"/>
      <c r="G24" s="21" t="n"/>
    </row>
    <row r="25">
      <c r="A25" s="21" t="n"/>
      <c r="B25" s="21" t="n"/>
      <c r="C25" s="21" t="n"/>
      <c r="D25" s="21" t="n"/>
      <c r="E25" s="19" t="n"/>
      <c r="F25" s="21" t="n"/>
      <c r="G25" s="21" t="n"/>
    </row>
    <row r="26">
      <c r="A26" s="21" t="n"/>
      <c r="B26" s="21" t="n"/>
      <c r="C26" s="21" t="n"/>
      <c r="D26" s="21" t="n"/>
      <c r="E26" s="19" t="n"/>
      <c r="F26" s="21" t="n"/>
      <c r="G26" s="21" t="n"/>
    </row>
    <row r="27">
      <c r="A27" s="21" t="n"/>
      <c r="B27" s="21" t="n"/>
      <c r="C27" s="21" t="n"/>
      <c r="D27" s="21" t="n"/>
      <c r="E27" s="19" t="n"/>
      <c r="F27" s="21" t="n"/>
      <c r="G27" s="21" t="n"/>
    </row>
    <row r="28">
      <c r="A28" s="21" t="n"/>
      <c r="B28" s="21" t="n"/>
      <c r="C28" s="21" t="n"/>
      <c r="D28" s="21" t="n"/>
      <c r="E28" s="19" t="n"/>
      <c r="F28" s="21" t="n"/>
      <c r="G28" s="21" t="n"/>
    </row>
    <row r="29">
      <c r="A29" s="21" t="n"/>
      <c r="B29" s="21" t="n"/>
      <c r="C29" s="21" t="n"/>
      <c r="D29" s="21" t="n"/>
      <c r="E29" s="19" t="n"/>
      <c r="F29" s="21" t="n"/>
      <c r="G29" s="21" t="n"/>
    </row>
    <row r="30">
      <c r="A30" s="21" t="n"/>
      <c r="B30" s="21" t="n"/>
      <c r="C30" s="21" t="n"/>
      <c r="D30" s="21" t="n"/>
      <c r="E30" s="19" t="n"/>
      <c r="F30" s="21" t="n"/>
      <c r="G30" s="21" t="n"/>
    </row>
    <row r="31">
      <c r="A31" s="21" t="n"/>
      <c r="B31" s="21" t="n"/>
      <c r="C31" s="21" t="n"/>
      <c r="D31" s="21" t="n"/>
      <c r="E31" s="19" t="n"/>
      <c r="F31" s="21" t="n"/>
      <c r="G31" s="21" t="n"/>
    </row>
    <row r="32">
      <c r="A32" s="21" t="n"/>
      <c r="B32" s="21" t="n"/>
      <c r="C32" s="21" t="n"/>
      <c r="D32" s="21" t="n"/>
      <c r="E32" s="19" t="n"/>
      <c r="F32" s="21" t="n"/>
      <c r="G32" s="21" t="n"/>
    </row>
    <row r="33">
      <c r="A33" s="21" t="n"/>
      <c r="B33" s="21" t="n"/>
      <c r="C33" s="21" t="n"/>
      <c r="D33" s="21" t="n"/>
      <c r="E33" s="19" t="n"/>
      <c r="F33" s="21" t="n"/>
      <c r="G33" s="21" t="n"/>
    </row>
    <row r="34">
      <c r="A34" s="21" t="n"/>
      <c r="B34" s="21" t="n"/>
      <c r="C34" s="21" t="n"/>
      <c r="D34" s="21" t="n"/>
      <c r="E34" s="19" t="n"/>
      <c r="F34" s="21" t="n"/>
      <c r="G34" s="21" t="n"/>
    </row>
    <row r="35">
      <c r="A35" s="21" t="n"/>
      <c r="B35" s="21" t="n"/>
      <c r="C35" s="21" t="n"/>
      <c r="D35" s="21" t="n"/>
      <c r="E35" s="19" t="n"/>
      <c r="F35" s="21" t="n"/>
      <c r="G35" s="21" t="n"/>
    </row>
    <row r="36">
      <c r="A36" s="21" t="n"/>
      <c r="B36" s="21" t="n"/>
      <c r="C36" s="21" t="n"/>
      <c r="D36" s="21" t="n"/>
      <c r="E36" s="19" t="n"/>
      <c r="F36" s="21" t="n"/>
      <c r="G36" s="21" t="n"/>
    </row>
    <row r="37">
      <c r="A37" s="21" t="n"/>
      <c r="B37" s="21" t="n"/>
      <c r="C37" s="21" t="n"/>
      <c r="D37" s="21" t="n"/>
      <c r="E37" s="19" t="n"/>
      <c r="F37" s="21" t="n"/>
      <c r="G37" s="21" t="n"/>
    </row>
    <row r="38">
      <c r="A38" s="21" t="n"/>
      <c r="B38" s="21" t="n"/>
      <c r="C38" s="21" t="n"/>
      <c r="D38" s="21" t="n"/>
      <c r="E38" s="19" t="n"/>
      <c r="F38" s="21" t="n"/>
      <c r="G38" s="21" t="n"/>
    </row>
    <row r="39">
      <c r="A39" s="21" t="n"/>
      <c r="B39" s="21" t="n"/>
      <c r="C39" s="21" t="n"/>
      <c r="D39" s="21" t="n"/>
      <c r="E39" s="19" t="n"/>
      <c r="F39" s="21" t="n"/>
      <c r="G39" s="21" t="n"/>
    </row>
    <row r="40">
      <c r="A40" s="21" t="n"/>
      <c r="B40" s="21" t="n"/>
      <c r="C40" s="21" t="n"/>
      <c r="D40" s="21" t="n"/>
      <c r="E40" s="19" t="n"/>
      <c r="F40" s="21" t="n"/>
      <c r="G40" s="21" t="n"/>
    </row>
    <row r="41">
      <c r="A41" s="21" t="n"/>
      <c r="B41" s="21" t="n"/>
      <c r="C41" s="21" t="n"/>
      <c r="D41" s="21" t="n"/>
      <c r="E41" s="19" t="n"/>
      <c r="F41" s="21" t="n"/>
      <c r="G41" s="21" t="n"/>
    </row>
    <row r="42">
      <c r="A42" s="21" t="n"/>
      <c r="B42" s="21" t="n"/>
      <c r="C42" s="21" t="n"/>
      <c r="D42" s="21" t="n"/>
      <c r="E42" s="19" t="n"/>
      <c r="F42" s="21" t="n"/>
      <c r="G42" s="21" t="n"/>
    </row>
    <row r="43">
      <c r="A43" s="21" t="n"/>
      <c r="B43" s="21" t="n"/>
      <c r="C43" s="21" t="n"/>
      <c r="D43" s="21" t="n"/>
      <c r="E43" s="19" t="n"/>
      <c r="F43" s="21" t="n"/>
      <c r="G43" s="21" t="n"/>
    </row>
    <row r="44">
      <c r="A44" s="21" t="n"/>
      <c r="B44" s="21" t="n"/>
      <c r="C44" s="21" t="n"/>
      <c r="D44" s="21" t="n"/>
      <c r="E44" s="19" t="n"/>
      <c r="F44" s="21" t="n"/>
      <c r="G44" s="21" t="n"/>
    </row>
    <row r="46">
      <c r="A46" s="22" t="inlineStr">
        <is>
          <t>OPENING CASH BEFORE FEB 1</t>
        </is>
      </c>
      <c r="B46" s="23" t="n"/>
      <c r="C46" s="23" t="n"/>
      <c r="D46" s="23" t="n"/>
      <c r="E46" s="23" t="n"/>
      <c r="F46" s="23" t="n"/>
      <c r="G46" s="23" t="n"/>
    </row>
    <row r="47">
      <c r="A47" s="5" t="inlineStr">
        <is>
          <t>Personal</t>
        </is>
      </c>
      <c r="E47" s="24">
        <f>SUMIFS($E$6:$E$44,$C$6:$C$44,$A47,$F$6:$F$44,"Yes")</f>
        <v/>
      </c>
    </row>
    <row r="48">
      <c r="A48" s="5" t="inlineStr">
        <is>
          <t>Sole Prop</t>
        </is>
      </c>
      <c r="E48" s="24">
        <f>SUMIFS($E$6:$E$44,$C$6:$C$44,$A48,$F$6:$F$44,"Yes")</f>
        <v/>
      </c>
    </row>
    <row r="49">
      <c r="A49" s="5" t="inlineStr">
        <is>
          <t>Corporation</t>
        </is>
      </c>
      <c r="E49" s="24">
        <f>SUMIFS($E$6:$E$44,$C$6:$C$44,$A49,$F$6:$F$44,"Yes")</f>
        <v/>
      </c>
    </row>
    <row r="50">
      <c r="A50" s="5" t="inlineStr">
        <is>
          <t>TOTAL OPENING LIQUID CASH</t>
        </is>
      </c>
      <c r="E50" s="25">
        <f>SUM(E47:E49)</f>
        <v/>
      </c>
    </row>
    <row r="52">
      <c r="A52" s="26" t="inlineStr">
        <is>
          <t>Only accounts marked Liquid = "Yes" count toward cash. Mark a locked-in GIC or an RRSP you would not actually draw on as "No".</t>
        </is>
      </c>
    </row>
  </sheetData>
  <dataValidations count="2">
    <dataValidation sqref="C6:C44" showDropDown="0" showInputMessage="0" showErrorMessage="0" allowBlank="1" type="list">
      <formula1>"Personal,Sole Prop,Corporation,UNSURE - FLAG IT"</formula1>
    </dataValidation>
    <dataValidation sqref="F6:F44" showDropDown="0" showInputMessage="0" showErrorMessage="0" allowBlank="1" type="list">
      <formula1>"Yes,No,Partly"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9"/>
  <sheetViews>
    <sheetView showGridLines="0" workbookViewId="0">
      <selection activeCell="A1" sqref="A1"/>
    </sheetView>
  </sheetViews>
  <sheetFormatPr baseColWidth="8" defaultRowHeight="15"/>
  <cols>
    <col width="5" customWidth="1" min="1" max="1"/>
    <col width="46" customWidth="1" min="2" max="2"/>
    <col width="22" customWidth="1" min="3" max="3"/>
    <col width="62" customWidth="1" min="4" max="4"/>
  </cols>
  <sheetData>
    <row r="1">
      <c r="A1" s="1" t="inlineStr">
        <is>
          <t>Categories</t>
        </is>
      </c>
    </row>
    <row r="2">
      <c r="A2" s="2" t="inlineStr">
        <is>
          <t>Reference. Column C is what the model does with each category. Do not rename anything here — TRANSACTIONS looks these up by exact text.</t>
        </is>
      </c>
    </row>
    <row r="4" ht="30" customHeight="1">
      <c r="A4" s="6" t="inlineStr">
        <is>
          <t>#</t>
        </is>
      </c>
      <c r="B4" s="6" t="inlineStr">
        <is>
          <t>Category (appears in the TRANSACTIONS dropdown)</t>
        </is>
      </c>
      <c r="C4" s="6" t="inlineStr">
        <is>
          <t>Treated as</t>
        </is>
      </c>
      <c r="D4" s="6" t="inlineStr">
        <is>
          <t>What it means</t>
        </is>
      </c>
    </row>
    <row r="5">
      <c r="A5" s="7" t="n">
        <v>1</v>
      </c>
      <c r="B5" s="7" t="inlineStr">
        <is>
          <t>Client payment received</t>
        </is>
      </c>
      <c r="C5" s="27" t="inlineStr">
        <is>
          <t>Revenue</t>
        </is>
      </c>
      <c r="D5" s="28" t="inlineStr">
        <is>
          <t>Money from a customer that actually landed. Enter GST separately in column J.</t>
        </is>
      </c>
    </row>
    <row r="6">
      <c r="A6" s="7" t="n">
        <v>2</v>
      </c>
      <c r="B6" s="7" t="inlineStr">
        <is>
          <t>Deposit received (work not yet done)</t>
        </is>
      </c>
      <c r="C6" s="27" t="inlineStr">
        <is>
          <t>Revenue</t>
        </is>
      </c>
      <c r="D6" s="28" t="inlineStr">
        <is>
          <t>Cash you hold but have not earned. Real cash, but do not treat it as profit.</t>
        </is>
      </c>
    </row>
    <row r="7">
      <c r="A7" s="7" t="n">
        <v>3</v>
      </c>
      <c r="B7" s="7" t="inlineStr">
        <is>
          <t>Other business income</t>
        </is>
      </c>
      <c r="C7" s="27" t="inlineStr">
        <is>
          <t>Revenue</t>
        </is>
      </c>
      <c r="D7" s="28" t="inlineStr">
        <is>
          <t>Rebates, insurance proceeds, equipment sold.</t>
        </is>
      </c>
    </row>
    <row r="8">
      <c r="A8" s="7" t="n">
        <v>4</v>
      </c>
      <c r="B8" s="7" t="inlineStr">
        <is>
          <t>Materials and plants</t>
        </is>
      </c>
      <c r="C8" s="27" t="inlineStr">
        <is>
          <t>COGS</t>
        </is>
      </c>
      <c r="D8" s="28" t="inlineStr">
        <is>
          <t>Supplier purchases that go into a job.</t>
        </is>
      </c>
    </row>
    <row r="9">
      <c r="A9" s="7" t="n">
        <v>5</v>
      </c>
      <c r="B9" s="7" t="inlineStr">
        <is>
          <t>Subcontractor</t>
        </is>
      </c>
      <c r="C9" s="27" t="inlineStr">
        <is>
          <t>COGS</t>
        </is>
      </c>
      <c r="D9" s="28" t="inlineStr">
        <is>
          <t>Paid to another business for job work.</t>
        </is>
      </c>
    </row>
    <row r="10">
      <c r="A10" s="7" t="n">
        <v>6</v>
      </c>
      <c r="B10" s="7" t="inlineStr">
        <is>
          <t>Equipment rental</t>
        </is>
      </c>
      <c r="C10" s="27" t="inlineStr">
        <is>
          <t>COGS</t>
        </is>
      </c>
      <c r="D10" s="28" t="inlineStr">
        <is>
          <t>Rented for a specific job.</t>
        </is>
      </c>
    </row>
    <row r="11">
      <c r="A11" s="7" t="n">
        <v>7</v>
      </c>
      <c r="B11" s="7" t="inlineStr">
        <is>
          <t>Disposal and dump fees</t>
        </is>
      </c>
      <c r="C11" s="27" t="inlineStr">
        <is>
          <t>COGS</t>
        </is>
      </c>
      <c r="D11" s="28" t="inlineStr">
        <is>
          <t>Tipping fees, debris hauling.</t>
        </is>
      </c>
    </row>
    <row r="12">
      <c r="A12" s="7" t="n">
        <v>8</v>
      </c>
      <c r="B12" s="7" t="inlineStr">
        <is>
          <t>Fuel</t>
        </is>
      </c>
      <c r="C12" s="27" t="inlineStr">
        <is>
          <t>Operating Expense</t>
        </is>
      </c>
      <c r="D12" s="28" t="inlineStr">
        <is>
          <t>All vehicle fuel.</t>
        </is>
      </c>
    </row>
    <row r="13">
      <c r="A13" s="7" t="n">
        <v>9</v>
      </c>
      <c r="B13" s="7" t="inlineStr">
        <is>
          <t>Vehicle repairs and maintenance</t>
        </is>
      </c>
      <c r="C13" s="27" t="inlineStr">
        <is>
          <t>Operating Expense</t>
        </is>
      </c>
      <c r="D13" s="28" t="inlineStr">
        <is>
          <t>Parts, service, tires.</t>
        </is>
      </c>
    </row>
    <row r="14">
      <c r="A14" s="7" t="n">
        <v>10</v>
      </c>
      <c r="B14" s="7" t="inlineStr">
        <is>
          <t>Vehicle insurance</t>
        </is>
      </c>
      <c r="C14" s="27" t="inlineStr">
        <is>
          <t>Operating Expense</t>
        </is>
      </c>
      <c r="D14" s="28" t="inlineStr">
        <is>
          <t>ICBC and commercial coverage.</t>
        </is>
      </c>
    </row>
    <row r="15">
      <c r="A15" s="7" t="n">
        <v>11</v>
      </c>
      <c r="B15" s="7" t="inlineStr">
        <is>
          <t>Liability insurance</t>
        </is>
      </c>
      <c r="C15" s="27" t="inlineStr">
        <is>
          <t>Operating Expense</t>
        </is>
      </c>
      <c r="D15" s="28" t="inlineStr">
        <is>
          <t>General business liability.</t>
        </is>
      </c>
    </row>
    <row r="16">
      <c r="A16" s="7" t="n">
        <v>12</v>
      </c>
      <c r="B16" s="7" t="inlineStr">
        <is>
          <t>WorkSafeBC premiums</t>
        </is>
      </c>
      <c r="C16" s="27" t="inlineStr">
        <is>
          <t>Operating Expense</t>
        </is>
      </c>
      <c r="D16" s="28" t="inlineStr">
        <is>
          <t>Statutory coverage.</t>
        </is>
      </c>
    </row>
    <row r="17">
      <c r="A17" s="7" t="n">
        <v>13</v>
      </c>
      <c r="B17" s="7" t="inlineStr">
        <is>
          <t>Rent, yard or storage</t>
        </is>
      </c>
      <c r="C17" s="27" t="inlineStr">
        <is>
          <t>Operating Expense</t>
        </is>
      </c>
      <c r="D17" s="28" t="inlineStr">
        <is>
          <t>Fixed premises cost.</t>
        </is>
      </c>
    </row>
    <row r="18">
      <c r="A18" s="7" t="n">
        <v>14</v>
      </c>
      <c r="B18" s="7" t="inlineStr">
        <is>
          <t>Phone and internet</t>
        </is>
      </c>
      <c r="C18" s="27" t="inlineStr">
        <is>
          <t>Operating Expense</t>
        </is>
      </c>
      <c r="D18" s="28" t="inlineStr"/>
    </row>
    <row r="19">
      <c r="A19" s="7" t="n">
        <v>15</v>
      </c>
      <c r="B19" s="7" t="inlineStr">
        <is>
          <t>Software and subscriptions</t>
        </is>
      </c>
      <c r="C19" s="27" t="inlineStr">
        <is>
          <t>Operating Expense</t>
        </is>
      </c>
      <c r="D19" s="28" t="inlineStr"/>
    </row>
    <row r="20">
      <c r="A20" s="7" t="n">
        <v>16</v>
      </c>
      <c r="B20" s="7" t="inlineStr">
        <is>
          <t>Accounting and bookkeeping</t>
        </is>
      </c>
      <c r="C20" s="27" t="inlineStr">
        <is>
          <t>Operating Expense</t>
        </is>
      </c>
      <c r="D20" s="28" t="inlineStr"/>
    </row>
    <row r="21">
      <c r="A21" s="7" t="n">
        <v>17</v>
      </c>
      <c r="B21" s="7" t="inlineStr">
        <is>
          <t>Legal</t>
        </is>
      </c>
      <c r="C21" s="27" t="inlineStr">
        <is>
          <t>Operating Expense</t>
        </is>
      </c>
      <c r="D21" s="28" t="inlineStr"/>
    </row>
    <row r="22">
      <c r="A22" s="7" t="n">
        <v>18</v>
      </c>
      <c r="B22" s="7" t="inlineStr">
        <is>
          <t>Advertising and marketing</t>
        </is>
      </c>
      <c r="C22" s="27" t="inlineStr">
        <is>
          <t>Operating Expense</t>
        </is>
      </c>
      <c r="D22" s="28" t="inlineStr"/>
    </row>
    <row r="23">
      <c r="A23" s="7" t="n">
        <v>19</v>
      </c>
      <c r="B23" s="7" t="inlineStr">
        <is>
          <t>Bank and merchant fees</t>
        </is>
      </c>
      <c r="C23" s="27" t="inlineStr">
        <is>
          <t>Operating Expense</t>
        </is>
      </c>
      <c r="D23" s="28" t="inlineStr">
        <is>
          <t>Includes card processing fees.</t>
        </is>
      </c>
    </row>
    <row r="24">
      <c r="A24" s="7" t="n">
        <v>20</v>
      </c>
      <c r="B24" s="7" t="inlineStr">
        <is>
          <t>Small tools and consumables</t>
        </is>
      </c>
      <c r="C24" s="27" t="inlineStr">
        <is>
          <t>Operating Expense</t>
        </is>
      </c>
      <c r="D24" s="28" t="inlineStr">
        <is>
          <t>Under the capitalisation threshold.</t>
        </is>
      </c>
    </row>
    <row r="25">
      <c r="A25" s="7" t="n">
        <v>21</v>
      </c>
      <c r="B25" s="7" t="inlineStr">
        <is>
          <t>Other operating expense</t>
        </is>
      </c>
      <c r="C25" s="27" t="inlineStr">
        <is>
          <t>Operating Expense</t>
        </is>
      </c>
      <c r="D25" s="28" t="inlineStr">
        <is>
          <t>Use sparingly. A large balance here weakens the analysis.</t>
        </is>
      </c>
    </row>
    <row r="26">
      <c r="A26" s="7" t="n">
        <v>22</v>
      </c>
      <c r="B26" s="7" t="inlineStr">
        <is>
          <t>Crew wages (net pay out)</t>
        </is>
      </c>
      <c r="C26" s="27" t="inlineStr">
        <is>
          <t>Payroll</t>
        </is>
      </c>
      <c r="D26" s="28" t="inlineStr">
        <is>
          <t>Net amount that left the bank to crew.</t>
        </is>
      </c>
    </row>
    <row r="27">
      <c r="A27" s="7" t="n">
        <v>23</v>
      </c>
      <c r="B27" s="7" t="inlineStr">
        <is>
          <t>Payroll service fees</t>
        </is>
      </c>
      <c r="C27" s="27" t="inlineStr">
        <is>
          <t>Payroll</t>
        </is>
      </c>
      <c r="D27" s="28" t="inlineStr"/>
    </row>
    <row r="28">
      <c r="A28" s="7" t="n">
        <v>24</v>
      </c>
      <c r="B28" s="7" t="inlineStr">
        <is>
          <t>CRA source deductions remitted</t>
        </is>
      </c>
      <c r="C28" s="27" t="inlineStr">
        <is>
          <t>Tax/Remittance</t>
        </is>
      </c>
      <c r="D28" s="28" t="inlineStr">
        <is>
          <t>CPP, EI and income tax sent to CRA.</t>
        </is>
      </c>
    </row>
    <row r="29">
      <c r="A29" s="7" t="n">
        <v>25</v>
      </c>
      <c r="B29" s="7" t="inlineStr">
        <is>
          <t>GST remitted to CRA</t>
        </is>
      </c>
      <c r="C29" s="27" t="inlineStr">
        <is>
          <t>Tax/Remittance</t>
        </is>
      </c>
      <c r="D29" s="28" t="inlineStr">
        <is>
          <t>Never an expense. You were holding this money.</t>
        </is>
      </c>
    </row>
    <row r="30">
      <c r="A30" s="7" t="n">
        <v>26</v>
      </c>
      <c r="B30" s="7" t="inlineStr">
        <is>
          <t>Personal tax instalment</t>
        </is>
      </c>
      <c r="C30" s="27" t="inlineStr">
        <is>
          <t>Tax/Remittance</t>
        </is>
      </c>
      <c r="D30" s="28" t="inlineStr">
        <is>
          <t>Paid from whichever account it actually left.</t>
        </is>
      </c>
    </row>
    <row r="31">
      <c r="A31" s="7" t="n">
        <v>27</v>
      </c>
      <c r="B31" s="7" t="inlineStr">
        <is>
          <t>Corporate tax instalment</t>
        </is>
      </c>
      <c r="C31" s="27" t="inlineStr">
        <is>
          <t>Tax/Remittance</t>
        </is>
      </c>
      <c r="D31" s="28" t="inlineStr"/>
    </row>
    <row r="32">
      <c r="A32" s="7" t="n">
        <v>28</v>
      </c>
      <c r="B32" s="7" t="inlineStr">
        <is>
          <t>Owner draw (sole prop)</t>
        </is>
      </c>
      <c r="C32" s="27" t="inlineStr">
        <is>
          <t>Owner Draw/Comp</t>
        </is>
      </c>
      <c r="D32" s="28" t="inlineStr">
        <is>
          <t>Not an expense. Reduces cash, not profit.</t>
        </is>
      </c>
    </row>
    <row r="33">
      <c r="A33" s="7" t="n">
        <v>29</v>
      </c>
      <c r="B33" s="7" t="inlineStr">
        <is>
          <t>Owner salary (corporation)</t>
        </is>
      </c>
      <c r="C33" s="27" t="inlineStr">
        <is>
          <t>Owner Draw/Comp</t>
        </is>
      </c>
      <c r="D33" s="28" t="inlineStr">
        <is>
          <t>Through payroll, with source deductions.</t>
        </is>
      </c>
    </row>
    <row r="34">
      <c r="A34" s="7" t="n">
        <v>30</v>
      </c>
      <c r="B34" s="7" t="inlineStr">
        <is>
          <t>Dividend paid to owner</t>
        </is>
      </c>
      <c r="C34" s="27" t="inlineStr">
        <is>
          <t>Owner Draw/Comp</t>
        </is>
      </c>
      <c r="D34" s="28" t="inlineStr"/>
    </row>
    <row r="35">
      <c r="A35" s="7" t="n">
        <v>31</v>
      </c>
      <c r="B35" s="7" t="inlineStr">
        <is>
          <t>Shareholder loan repaid to owner</t>
        </is>
      </c>
      <c r="C35" s="27" t="inlineStr">
        <is>
          <t>Owner Draw/Comp</t>
        </is>
      </c>
      <c r="D35" s="28" t="inlineStr">
        <is>
          <t>Money the corporation owed you, returned.</t>
        </is>
      </c>
    </row>
    <row r="36">
      <c r="A36" s="7" t="n">
        <v>32</v>
      </c>
      <c r="B36" s="7" t="inlineStr">
        <is>
          <t>Vehicle purchase</t>
        </is>
      </c>
      <c r="C36" s="27" t="inlineStr">
        <is>
          <t>Capital Purchase</t>
        </is>
      </c>
      <c r="D36" s="28" t="inlineStr">
        <is>
          <t>Cash out now, expensed over years. A major cash-vs-profit gap.</t>
        </is>
      </c>
    </row>
    <row r="37">
      <c r="A37" s="7" t="n">
        <v>33</v>
      </c>
      <c r="B37" s="7" t="inlineStr">
        <is>
          <t>Equipment purchase</t>
        </is>
      </c>
      <c r="C37" s="27" t="inlineStr">
        <is>
          <t>Capital Purchase</t>
        </is>
      </c>
      <c r="D37" s="28" t="inlineStr">
        <is>
          <t>Same treatment as a vehicle.</t>
        </is>
      </c>
    </row>
    <row r="38">
      <c r="A38" s="7" t="n">
        <v>34</v>
      </c>
      <c r="B38" s="7" t="inlineStr">
        <is>
          <t>Loan or lease payment</t>
        </is>
      </c>
      <c r="C38" s="27" t="inlineStr">
        <is>
          <t>Financing</t>
        </is>
      </c>
      <c r="D38" s="28" t="inlineStr">
        <is>
          <t>The principal portion is not an expense.</t>
        </is>
      </c>
    </row>
    <row r="39">
      <c r="A39" s="7" t="n">
        <v>35</v>
      </c>
      <c r="B39" s="7" t="inlineStr">
        <is>
          <t>Loan or financing proceeds</t>
        </is>
      </c>
      <c r="C39" s="27" t="inlineStr">
        <is>
          <t>Financing</t>
        </is>
      </c>
      <c r="D39" s="28" t="inlineStr">
        <is>
          <t>Cash in, but it is debt, not income.</t>
        </is>
      </c>
    </row>
    <row r="40">
      <c r="A40" s="7" t="n">
        <v>36</v>
      </c>
      <c r="B40" s="7" t="inlineStr">
        <is>
          <t>Capital contributed by owner</t>
        </is>
      </c>
      <c r="C40" s="27" t="inlineStr">
        <is>
          <t>Financing</t>
        </is>
      </c>
      <c r="D40" s="28" t="inlineStr">
        <is>
          <t>Your money into the business. Never revenue.</t>
        </is>
      </c>
    </row>
    <row r="41">
      <c r="A41" s="7" t="n">
        <v>37</v>
      </c>
      <c r="B41" s="7" t="inlineStr">
        <is>
          <t>Transfer - Personal &lt;-&gt; Sole Prop</t>
        </is>
      </c>
      <c r="C41" s="27" t="inlineStr">
        <is>
          <t>Transfer</t>
        </is>
      </c>
      <c r="D41" s="28" t="inlineStr">
        <is>
          <t>Excluded from revenue and expenses. Pair it in column H.</t>
        </is>
      </c>
    </row>
    <row r="42">
      <c r="A42" s="7" t="n">
        <v>38</v>
      </c>
      <c r="B42" s="7" t="inlineStr">
        <is>
          <t>Transfer - Personal &lt;-&gt; Corporation</t>
        </is>
      </c>
      <c r="C42" s="27" t="inlineStr">
        <is>
          <t>Transfer</t>
        </is>
      </c>
      <c r="D42" s="28" t="inlineStr">
        <is>
          <t>Excluded. Pair it in column H.</t>
        </is>
      </c>
    </row>
    <row r="43">
      <c r="A43" s="7" t="n">
        <v>39</v>
      </c>
      <c r="B43" s="7" t="inlineStr">
        <is>
          <t>Transfer - Sole Prop &lt;-&gt; Corporation</t>
        </is>
      </c>
      <c r="C43" s="27" t="inlineStr">
        <is>
          <t>Transfer</t>
        </is>
      </c>
      <c r="D43" s="28" t="inlineStr">
        <is>
          <t>Excluded. Pair it in column H. Also tell your accountant.</t>
        </is>
      </c>
    </row>
    <row r="44">
      <c r="A44" s="7" t="n">
        <v>40</v>
      </c>
      <c r="B44" s="7" t="inlineStr">
        <is>
          <t>Transfer - between my own accounts, same entity</t>
        </is>
      </c>
      <c r="C44" s="27" t="inlineStr">
        <is>
          <t>Transfer</t>
        </is>
      </c>
      <c r="D44" s="28" t="inlineStr">
        <is>
          <t>Chequing to savings, etc. Excluded.</t>
        </is>
      </c>
    </row>
    <row r="45">
      <c r="A45" s="7" t="n">
        <v>41</v>
      </c>
      <c r="B45" s="7" t="inlineStr">
        <is>
          <t>Personal income (not from business)</t>
        </is>
      </c>
      <c r="C45" s="27" t="inlineStr">
        <is>
          <t>Personal Income</t>
        </is>
      </c>
      <c r="D45" s="28" t="inlineStr">
        <is>
          <t>Partner income, other work, benefits.</t>
        </is>
      </c>
    </row>
    <row r="46">
      <c r="A46" s="7" t="n">
        <v>42</v>
      </c>
      <c r="B46" s="7" t="inlineStr">
        <is>
          <t>Personal expense</t>
        </is>
      </c>
      <c r="C46" s="27" t="inlineStr">
        <is>
          <t>Personal Expense</t>
        </is>
      </c>
      <c r="D46" s="28" t="inlineStr">
        <is>
          <t>Household, living, personal debt.</t>
        </is>
      </c>
    </row>
    <row r="47">
      <c r="A47" s="7" t="n">
        <v>43</v>
      </c>
      <c r="B47" s="7" t="inlineStr">
        <is>
          <t>Investment purchased</t>
        </is>
      </c>
      <c r="C47" s="27" t="inlineStr">
        <is>
          <t>Investment</t>
        </is>
      </c>
      <c r="D47" s="28" t="inlineStr">
        <is>
          <t>Cash out of chequing into an investment account.</t>
        </is>
      </c>
    </row>
    <row r="48">
      <c r="A48" s="7" t="n">
        <v>44</v>
      </c>
      <c r="B48" s="7" t="inlineStr">
        <is>
          <t>Investment sold</t>
        </is>
      </c>
      <c r="C48" s="27" t="inlineStr">
        <is>
          <t>Investment</t>
        </is>
      </c>
      <c r="D48" s="28" t="inlineStr">
        <is>
          <t>Cash back in.</t>
        </is>
      </c>
    </row>
    <row r="49">
      <c r="A49" s="29" t="n">
        <v>45</v>
      </c>
      <c r="B49" s="29" t="inlineStr">
        <is>
          <t>! UNCLEAR - NEEDS REVIEW</t>
        </is>
      </c>
      <c r="C49" s="30" t="inlineStr">
        <is>
          <t>Review</t>
        </is>
      </c>
      <c r="D49" s="31" t="inlineStr">
        <is>
          <t>Use this freely. It lands on FLAGS instead of quietly distorting the numbers.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4"/>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40" customWidth="1" min="3" max="3"/>
    <col width="16" customWidth="1" min="4" max="4"/>
    <col width="13" customWidth="1" min="5" max="5"/>
    <col width="34" customWidth="1" min="6" max="6"/>
    <col width="17" customWidth="1" min="7" max="7"/>
    <col width="11" customWidth="1" min="8" max="8"/>
    <col width="15" customWidth="1" min="9" max="9"/>
    <col width="11" customWidth="1" min="10" max="10"/>
    <col width="34" customWidth="1" min="11" max="11"/>
  </cols>
  <sheetData>
    <row r="1">
      <c r="A1" s="1" t="inlineStr">
        <is>
          <t>Transactions</t>
        </is>
      </c>
    </row>
    <row r="2">
      <c r="A2" s="2" t="inlineStr">
        <is>
          <t>Paste every bank line here, every account. Money IN positive, money OUT negative. Fill the yellow columns; grey columns calculate themselves.</t>
        </is>
      </c>
    </row>
    <row r="3">
      <c r="B3" s="26" t="inlineStr">
        <is>
          <t>Type an account name EXACTLY as spelled on ACCOUNT MAP</t>
        </is>
      </c>
      <c r="F3" s="26" t="inlineStr">
        <is>
          <t>Type a category EXACTLY as spelled on the CATEGORIES tab</t>
        </is>
      </c>
    </row>
    <row r="4" ht="30" customHeight="1">
      <c r="A4" s="6" t="inlineStr">
        <is>
          <t>Date</t>
        </is>
      </c>
      <c r="B4" s="6" t="inlineStr">
        <is>
          <t>Account (must match ACCOUNT MAP)</t>
        </is>
      </c>
      <c r="C4" s="6" t="inlineStr">
        <is>
          <t>Description from statement</t>
        </is>
      </c>
      <c r="D4" s="6" t="inlineStr">
        <is>
          <t>Amount (+ in / - out)</t>
        </is>
      </c>
      <c r="E4" s="6" t="inlineStr">
        <is>
          <t>Entity</t>
        </is>
      </c>
      <c r="F4" s="6" t="inlineStr">
        <is>
          <t>Category (pick from list)</t>
        </is>
      </c>
      <c r="G4" s="6" t="inlineStr">
        <is>
          <t>Treated as</t>
        </is>
      </c>
      <c r="H4" s="6" t="inlineStr">
        <is>
          <t>Transfer pair id</t>
        </is>
      </c>
      <c r="I4" s="6" t="inlineStr">
        <is>
          <t>GST included in this line</t>
        </is>
      </c>
      <c r="J4" s="6" t="inlineStr">
        <is>
          <t>Month key</t>
        </is>
      </c>
      <c r="K4" s="6" t="inlineStr">
        <is>
          <t>Your note</t>
        </is>
      </c>
    </row>
    <row r="5">
      <c r="A5" s="32" t="n">
        <v>46062</v>
      </c>
      <c r="B5" s="21" t="inlineStr">
        <is>
          <t>EQ - Sole Prop Chequing</t>
        </is>
      </c>
      <c r="C5" s="21" t="inlineStr">
        <is>
          <t>Interac e-Transfer received from  KYLE JOHN BENJAMIN MCCAHILL</t>
        </is>
      </c>
      <c r="D5" s="33" t="n">
        <v>100</v>
      </c>
      <c r="E5" s="34">
        <f>IF($B5="","",IFERROR(INDEX('ACCOUNT MAP'!$C$6:$C$44,MATCH($B5,'ACCOUNT MAP'!$A$6:$A$44,0)),"! UNMAPPED ACCOUNT"))</f>
        <v/>
      </c>
      <c r="F5" s="21" t="inlineStr">
        <is>
          <t>Capital contributed by owner</t>
        </is>
      </c>
      <c r="G5" s="34">
        <f>IF($F5="","",IFERROR(INDEX(CATEGORIES!$C$5:$C$49,MATCH($F5,CATEGORIES!$B$5:$B$49,0)),"! UNKNOWN CATEGORY"))</f>
        <v/>
      </c>
      <c r="H5" s="21" t="n"/>
      <c r="I5" s="33" t="n"/>
      <c r="J5" s="35">
        <f>IF($A5="","",YEAR($A5)*100+MONTH($A5))</f>
        <v/>
      </c>
      <c r="K5" s="21" t="inlineStr"/>
    </row>
    <row r="6">
      <c r="A6" s="32" t="n">
        <v>46063</v>
      </c>
      <c r="B6" s="21" t="inlineStr">
        <is>
          <t>EQ - Sole Prop Chequing</t>
        </is>
      </c>
      <c r="C6" s="21" t="inlineStr">
        <is>
          <t>Interac e-Transfer received from  KYLE JOHN BENJAMIN MCCAHILL</t>
        </is>
      </c>
      <c r="D6" s="33" t="n">
        <v>1500</v>
      </c>
      <c r="E6" s="34">
        <f>IF($B6="","",IFERROR(INDEX('ACCOUNT MAP'!$C$6:$C$44,MATCH($B6,'ACCOUNT MAP'!$A$6:$A$44,0)),"! UNMAPPED ACCOUNT"))</f>
        <v/>
      </c>
      <c r="F6" s="21" t="inlineStr">
        <is>
          <t>Capital contributed by owner</t>
        </is>
      </c>
      <c r="G6" s="34">
        <f>IF($F6="","",IFERROR(INDEX(CATEGORIES!$C$5:$C$49,MATCH($F6,CATEGORIES!$B$5:$B$49,0)),"! UNKNOWN CATEGORY"))</f>
        <v/>
      </c>
      <c r="H6" s="21" t="n"/>
      <c r="I6" s="33" t="n"/>
      <c r="J6" s="35">
        <f>IF($A6="","",YEAR($A6)*100+MONTH($A6))</f>
        <v/>
      </c>
      <c r="K6" s="21" t="inlineStr"/>
    </row>
    <row r="7">
      <c r="A7" s="32" t="n">
        <v>46064</v>
      </c>
      <c r="B7" s="21" t="inlineStr">
        <is>
          <t>EQ - Sole Prop Chequing</t>
        </is>
      </c>
      <c r="C7" s="21" t="inlineStr">
        <is>
          <t>Interac e-Transfer received from  PACIFIC CITY DEVELOPMENTS INC.</t>
        </is>
      </c>
      <c r="D7" s="33" t="n">
        <v>3490</v>
      </c>
      <c r="E7" s="34">
        <f>IF($B7="","",IFERROR(INDEX('ACCOUNT MAP'!$C$6:$C$44,MATCH($B7,'ACCOUNT MAP'!$A$6:$A$44,0)),"! UNMAPPED ACCOUNT"))</f>
        <v/>
      </c>
      <c r="F7" s="21" t="inlineStr">
        <is>
          <t>Client payment received</t>
        </is>
      </c>
      <c r="G7" s="34">
        <f>IF($F7="","",IFERROR(INDEX(CATEGORIES!$C$5:$C$49,MATCH($F7,CATEGORIES!$B$5:$B$49,0)),"! UNKNOWN CATEGORY"))</f>
        <v/>
      </c>
      <c r="H7" s="21" t="n"/>
      <c r="I7" s="33" t="n">
        <v>166.19</v>
      </c>
      <c r="J7" s="35">
        <f>IF($A7="","",YEAR($A7)*100+MONTH($A7))</f>
        <v/>
      </c>
      <c r="K7" s="21" t="inlineStr"/>
    </row>
    <row r="8">
      <c r="A8" s="32" t="n">
        <v>46068</v>
      </c>
      <c r="B8" s="21" t="inlineStr">
        <is>
          <t>EQ - Sole Prop Chequing</t>
        </is>
      </c>
      <c r="C8" s="21" t="inlineStr">
        <is>
          <t>Mobile cheque deposit</t>
        </is>
      </c>
      <c r="D8" s="33" t="n">
        <v>7500</v>
      </c>
      <c r="E8" s="34">
        <f>IF($B8="","",IFERROR(INDEX('ACCOUNT MAP'!$C$6:$C$44,MATCH($B8,'ACCOUNT MAP'!$A$6:$A$44,0)),"! UNMAPPED ACCOUNT"))</f>
        <v/>
      </c>
      <c r="F8" s="21" t="inlineStr">
        <is>
          <t>Client payment received</t>
        </is>
      </c>
      <c r="G8" s="34">
        <f>IF($F8="","",IFERROR(INDEX(CATEGORIES!$C$5:$C$49,MATCH($F8,CATEGORIES!$B$5:$B$49,0)),"! UNKNOWN CATEGORY"))</f>
        <v/>
      </c>
      <c r="H8" s="21" t="n"/>
      <c r="I8" s="33" t="n">
        <v>357.14</v>
      </c>
      <c r="J8" s="35">
        <f>IF($A8="","",YEAR($A8)*100+MONTH($A8))</f>
        <v/>
      </c>
      <c r="K8" s="21" t="inlineStr"/>
    </row>
    <row r="9">
      <c r="A9" s="32" t="n">
        <v>46069</v>
      </c>
      <c r="B9" s="21" t="inlineStr">
        <is>
          <t>EQ - Sole Prop Chequing</t>
        </is>
      </c>
      <c r="C9" s="21" t="inlineStr">
        <is>
          <t>Mobile cheque deposit</t>
        </is>
      </c>
      <c r="D9" s="33" t="n">
        <v>12500</v>
      </c>
      <c r="E9" s="34">
        <f>IF($B9="","",IFERROR(INDEX('ACCOUNT MAP'!$C$6:$C$44,MATCH($B9,'ACCOUNT MAP'!$A$6:$A$44,0)),"! UNMAPPED ACCOUNT"))</f>
        <v/>
      </c>
      <c r="F9" s="21" t="inlineStr">
        <is>
          <t>Client payment received</t>
        </is>
      </c>
      <c r="G9" s="34">
        <f>IF($F9="","",IFERROR(INDEX(CATEGORIES!$C$5:$C$49,MATCH($F9,CATEGORIES!$B$5:$B$49,0)),"! UNKNOWN CATEGORY"))</f>
        <v/>
      </c>
      <c r="H9" s="21" t="n"/>
      <c r="I9" s="33" t="n">
        <v>595.24</v>
      </c>
      <c r="J9" s="35">
        <f>IF($A9="","",YEAR($A9)*100+MONTH($A9))</f>
        <v/>
      </c>
      <c r="K9" s="21" t="inlineStr"/>
    </row>
    <row r="10">
      <c r="A10" s="32" t="n">
        <v>46076</v>
      </c>
      <c r="B10" s="21" t="inlineStr">
        <is>
          <t>EQ - Sole Prop Chequing</t>
        </is>
      </c>
      <c r="C10" s="21" t="inlineStr">
        <is>
          <t>Interac e-Transfer sent to PND GRAVEL MART</t>
        </is>
      </c>
      <c r="D10" s="33" t="n">
        <v>-560</v>
      </c>
      <c r="E10" s="34">
        <f>IF($B10="","",IFERROR(INDEX('ACCOUNT MAP'!$C$6:$C$44,MATCH($B10,'ACCOUNT MAP'!$A$6:$A$44,0)),"! UNMAPPED ACCOUNT"))</f>
        <v/>
      </c>
      <c r="F10" s="21" t="inlineStr">
        <is>
          <t>Materials and plants</t>
        </is>
      </c>
      <c r="G10" s="34">
        <f>IF($F10="","",IFERROR(INDEX(CATEGORIES!$C$5:$C$49,MATCH($F10,CATEGORIES!$B$5:$B$49,0)),"! UNKNOWN CATEGORY"))</f>
        <v/>
      </c>
      <c r="H10" s="21" t="n"/>
      <c r="I10" s="33" t="n"/>
      <c r="J10" s="35">
        <f>IF($A10="","",YEAR($A10)*100+MONTH($A10))</f>
        <v/>
      </c>
      <c r="K10" s="21" t="inlineStr"/>
    </row>
    <row r="11">
      <c r="A11" s="32" t="n">
        <v>46078</v>
      </c>
      <c r="B11" s="21" t="inlineStr">
        <is>
          <t>EQ - Sole Prop Chequing</t>
        </is>
      </c>
      <c r="C11" s="21" t="inlineStr">
        <is>
          <t>Mobile cheque deposit</t>
        </is>
      </c>
      <c r="D11" s="33" t="n">
        <v>3526.39</v>
      </c>
      <c r="E11" s="34">
        <f>IF($B11="","",IFERROR(INDEX('ACCOUNT MAP'!$C$6:$C$44,MATCH($B11,'ACCOUNT MAP'!$A$6:$A$44,0)),"! UNMAPPED ACCOUNT"))</f>
        <v/>
      </c>
      <c r="F11" s="21" t="inlineStr">
        <is>
          <t>Client payment received</t>
        </is>
      </c>
      <c r="G11" s="34">
        <f>IF($F11="","",IFERROR(INDEX(CATEGORIES!$C$5:$C$49,MATCH($F11,CATEGORIES!$B$5:$B$49,0)),"! UNKNOWN CATEGORY"))</f>
        <v/>
      </c>
      <c r="H11" s="21" t="n"/>
      <c r="I11" s="33" t="n">
        <v>167.92</v>
      </c>
      <c r="J11" s="35">
        <f>IF($A11="","",YEAR($A11)*100+MONTH($A11))</f>
        <v/>
      </c>
      <c r="K11" s="21" t="inlineStr"/>
    </row>
    <row r="12">
      <c r="A12" s="32" t="n">
        <v>46078</v>
      </c>
      <c r="B12" s="21" t="inlineStr">
        <is>
          <t>EQ - Sole Prop Chequing</t>
        </is>
      </c>
      <c r="C12" s="21" t="inlineStr">
        <is>
          <t>Interac e-Transfer sent to K2 Stone</t>
        </is>
      </c>
      <c r="D12" s="33" t="n">
        <v>-7284.72</v>
      </c>
      <c r="E12" s="34">
        <f>IF($B12="","",IFERROR(INDEX('ACCOUNT MAP'!$C$6:$C$44,MATCH($B12,'ACCOUNT MAP'!$A$6:$A$44,0)),"! UNMAPPED ACCOUNT"))</f>
        <v/>
      </c>
      <c r="F12" s="21" t="inlineStr">
        <is>
          <t>Materials and plants</t>
        </is>
      </c>
      <c r="G12" s="34">
        <f>IF($F12="","",IFERROR(INDEX(CATEGORIES!$C$5:$C$49,MATCH($F12,CATEGORIES!$B$5:$B$49,0)),"! UNKNOWN CATEGORY"))</f>
        <v/>
      </c>
      <c r="H12" s="21" t="n"/>
      <c r="I12" s="33" t="n"/>
      <c r="J12" s="35">
        <f>IF($A12="","",YEAR($A12)*100+MONTH($A12))</f>
        <v/>
      </c>
      <c r="K12" s="21" t="inlineStr"/>
    </row>
    <row r="13">
      <c r="A13" s="32" t="n">
        <v>46078</v>
      </c>
      <c r="B13" s="21" t="inlineStr">
        <is>
          <t>EQ - Sole Prop Chequing</t>
        </is>
      </c>
      <c r="C13" s="21" t="inlineStr">
        <is>
          <t>Interac e-Transfer sent to Myles (YGGDRASIL HORTICUL</t>
        </is>
      </c>
      <c r="D13" s="33" t="n">
        <v>-1020</v>
      </c>
      <c r="E13" s="34">
        <f>IF($B13="","",IFERROR(INDEX('ACCOUNT MAP'!$C$6:$C$44,MATCH($B13,'ACCOUNT MAP'!$A$6:$A$44,0)),"! UNMAPPED ACCOUNT"))</f>
        <v/>
      </c>
      <c r="F13" s="21" t="inlineStr">
        <is>
          <t>Materials and plants</t>
        </is>
      </c>
      <c r="G13" s="34">
        <f>IF($F13="","",IFERROR(INDEX(CATEGORIES!$C$5:$C$49,MATCH($F13,CATEGORIES!$B$5:$B$49,0)),"! UNKNOWN CATEGORY"))</f>
        <v/>
      </c>
      <c r="H13" s="21" t="n"/>
      <c r="I13" s="33" t="n"/>
      <c r="J13" s="35">
        <f>IF($A13="","",YEAR($A13)*100+MONTH($A13))</f>
        <v/>
      </c>
      <c r="K13" s="21" t="inlineStr"/>
    </row>
    <row r="14">
      <c r="A14" s="32" t="n">
        <v>46079</v>
      </c>
      <c r="B14" s="21" t="inlineStr">
        <is>
          <t>EQ - Sole Prop Chequing</t>
        </is>
      </c>
      <c r="C14" s="21" t="inlineStr">
        <is>
          <t>Mobile cheque deposit</t>
        </is>
      </c>
      <c r="D14" s="33" t="n">
        <v>10000</v>
      </c>
      <c r="E14" s="34">
        <f>IF($B14="","",IFERROR(INDEX('ACCOUNT MAP'!$C$6:$C$44,MATCH($B14,'ACCOUNT MAP'!$A$6:$A$44,0)),"! UNMAPPED ACCOUNT"))</f>
        <v/>
      </c>
      <c r="F14" s="21" t="inlineStr">
        <is>
          <t>Client payment received</t>
        </is>
      </c>
      <c r="G14" s="34">
        <f>IF($F14="","",IFERROR(INDEX(CATEGORIES!$C$5:$C$49,MATCH($F14,CATEGORIES!$B$5:$B$49,0)),"! UNKNOWN CATEGORY"))</f>
        <v/>
      </c>
      <c r="H14" s="21" t="n"/>
      <c r="I14" s="33" t="n">
        <v>476.19</v>
      </c>
      <c r="J14" s="35">
        <f>IF($A14="","",YEAR($A14)*100+MONTH($A14))</f>
        <v/>
      </c>
      <c r="K14" s="21" t="inlineStr"/>
    </row>
    <row r="15">
      <c r="A15" s="32" t="n">
        <v>46079</v>
      </c>
      <c r="B15" s="21" t="inlineStr">
        <is>
          <t>EQ - Sole Prop Chequing</t>
        </is>
      </c>
      <c r="C15" s="21" t="inlineStr">
        <is>
          <t>Interac e-Transfer sent to K2 Stone</t>
        </is>
      </c>
      <c r="D15" s="33" t="n">
        <v>-2262.85</v>
      </c>
      <c r="E15" s="34">
        <f>IF($B15="","",IFERROR(INDEX('ACCOUNT MAP'!$C$6:$C$44,MATCH($B15,'ACCOUNT MAP'!$A$6:$A$44,0)),"! UNMAPPED ACCOUNT"))</f>
        <v/>
      </c>
      <c r="F15" s="21" t="inlineStr">
        <is>
          <t>Materials and plants</t>
        </is>
      </c>
      <c r="G15" s="34">
        <f>IF($F15="","",IFERROR(INDEX(CATEGORIES!$C$5:$C$49,MATCH($F15,CATEGORIES!$B$5:$B$49,0)),"! UNKNOWN CATEGORY"))</f>
        <v/>
      </c>
      <c r="H15" s="21" t="n"/>
      <c r="I15" s="33" t="n"/>
      <c r="J15" s="35">
        <f>IF($A15="","",YEAR($A15)*100+MONTH($A15))</f>
        <v/>
      </c>
      <c r="K15" s="21" t="inlineStr"/>
    </row>
    <row r="16">
      <c r="A16" s="32" t="n">
        <v>46079</v>
      </c>
      <c r="B16" s="21" t="inlineStr">
        <is>
          <t>EQ - Sole Prop Chequing</t>
        </is>
      </c>
      <c r="C16" s="21" t="inlineStr">
        <is>
          <t>Interac e-Transfer sent to PND GRAVEL MART</t>
        </is>
      </c>
      <c r="D16" s="33" t="n">
        <v>-280</v>
      </c>
      <c r="E16" s="34">
        <f>IF($B16="","",IFERROR(INDEX('ACCOUNT MAP'!$C$6:$C$44,MATCH($B16,'ACCOUNT MAP'!$A$6:$A$44,0)),"! UNMAPPED ACCOUNT"))</f>
        <v/>
      </c>
      <c r="F16" s="21" t="inlineStr">
        <is>
          <t>Materials and plants</t>
        </is>
      </c>
      <c r="G16" s="34">
        <f>IF($F16="","",IFERROR(INDEX(CATEGORIES!$C$5:$C$49,MATCH($F16,CATEGORIES!$B$5:$B$49,0)),"! UNKNOWN CATEGORY"))</f>
        <v/>
      </c>
      <c r="H16" s="21" t="n"/>
      <c r="I16" s="33" t="n"/>
      <c r="J16" s="35">
        <f>IF($A16="","",YEAR($A16)*100+MONTH($A16))</f>
        <v/>
      </c>
      <c r="K16" s="21" t="inlineStr"/>
    </row>
    <row r="17">
      <c r="A17" s="32" t="n">
        <v>46079</v>
      </c>
      <c r="B17" s="21" t="inlineStr">
        <is>
          <t>EQ - Sole Prop Chequing</t>
        </is>
      </c>
      <c r="C17" s="21" t="inlineStr">
        <is>
          <t>Auto-withdrawal by AMEX BILL PYMT</t>
        </is>
      </c>
      <c r="D17" s="33" t="n">
        <v>-1063.19</v>
      </c>
      <c r="E17" s="34">
        <f>IF($B17="","",IFERROR(INDEX('ACCOUNT MAP'!$C$6:$C$44,MATCH($B17,'ACCOUNT MAP'!$A$6:$A$44,0)),"! UNMAPPED ACCOUNT"))</f>
        <v/>
      </c>
      <c r="F17" s="21" t="inlineStr">
        <is>
          <t>! UNCLEAR - NEEDS REVIEW</t>
        </is>
      </c>
      <c r="G17" s="34">
        <f>IF($F17="","",IFERROR(INDEX(CATEGORIES!$C$5:$C$49,MATCH($F17,CATEGORIES!$B$5:$B$49,0)),"! UNKNOWN CATEGORY"))</f>
        <v/>
      </c>
      <c r="H17" s="21" t="n"/>
      <c r="I17" s="33" t="n"/>
      <c r="J17" s="35">
        <f>IF($A17="","",YEAR($A17)*100+MONTH($A17))</f>
        <v/>
      </c>
      <c r="K17" s="21" t="inlineStr">
        <is>
          <t>Credit card payment — AMEX BILL PYMT</t>
        </is>
      </c>
    </row>
    <row r="18">
      <c r="A18" s="32" t="n">
        <v>46081</v>
      </c>
      <c r="B18" s="21" t="inlineStr">
        <is>
          <t>EQ - Sole Prop Chequing</t>
        </is>
      </c>
      <c r="C18" s="21" t="inlineStr">
        <is>
          <t>Interest received</t>
        </is>
      </c>
      <c r="D18" s="33" t="n">
        <v>22.01</v>
      </c>
      <c r="E18" s="34">
        <f>IF($B18="","",IFERROR(INDEX('ACCOUNT MAP'!$C$6:$C$44,MATCH($B18,'ACCOUNT MAP'!$A$6:$A$44,0)),"! UNMAPPED ACCOUNT"))</f>
        <v/>
      </c>
      <c r="F18" s="21" t="inlineStr">
        <is>
          <t>Other business income</t>
        </is>
      </c>
      <c r="G18" s="34">
        <f>IF($F18="","",IFERROR(INDEX(CATEGORIES!$C$5:$C$49,MATCH($F18,CATEGORIES!$B$5:$B$49,0)),"! UNKNOWN CATEGORY"))</f>
        <v/>
      </c>
      <c r="H18" s="21" t="n"/>
      <c r="I18" s="33" t="n"/>
      <c r="J18" s="35">
        <f>IF($A18="","",YEAR($A18)*100+MONTH($A18))</f>
        <v/>
      </c>
      <c r="K18" s="21" t="inlineStr"/>
    </row>
    <row r="19">
      <c r="A19" s="32" t="n">
        <v>46083</v>
      </c>
      <c r="B19" s="21" t="inlineStr">
        <is>
          <t>EQ - Sole Prop Chequing</t>
        </is>
      </c>
      <c r="C19" s="21" t="inlineStr">
        <is>
          <t>Interac e-Transfer sent to GC Excavation</t>
        </is>
      </c>
      <c r="D19" s="33" t="n">
        <v>-2520</v>
      </c>
      <c r="E19" s="34">
        <f>IF($B19="","",IFERROR(INDEX('ACCOUNT MAP'!$C$6:$C$44,MATCH($B19,'ACCOUNT MAP'!$A$6:$A$44,0)),"! UNMAPPED ACCOUNT"))</f>
        <v/>
      </c>
      <c r="F19" s="21" t="inlineStr">
        <is>
          <t>Subcontractor</t>
        </is>
      </c>
      <c r="G19" s="34">
        <f>IF($F19="","",IFERROR(INDEX(CATEGORIES!$C$5:$C$49,MATCH($F19,CATEGORIES!$B$5:$B$49,0)),"! UNKNOWN CATEGORY"))</f>
        <v/>
      </c>
      <c r="H19" s="21" t="n"/>
      <c r="I19" s="33" t="n"/>
      <c r="J19" s="35">
        <f>IF($A19="","",YEAR($A19)*100+MONTH($A19))</f>
        <v/>
      </c>
      <c r="K19" s="21" t="inlineStr"/>
    </row>
    <row r="20">
      <c r="A20" s="32" t="n">
        <v>46084</v>
      </c>
      <c r="B20" s="21" t="inlineStr">
        <is>
          <t>EQ - Sole Prop Chequing</t>
        </is>
      </c>
      <c r="C20" s="21" t="inlineStr">
        <is>
          <t>Interac e-Transfer sent to Michelle</t>
        </is>
      </c>
      <c r="D20" s="33" t="n">
        <v>-5175</v>
      </c>
      <c r="E20" s="34">
        <f>IF($B20="","",IFERROR(INDEX('ACCOUNT MAP'!$C$6:$C$44,MATCH($B20,'ACCOUNT MAP'!$A$6:$A$44,0)),"! UNMAPPED ACCOUNT"))</f>
        <v/>
      </c>
      <c r="F20" s="21" t="inlineStr">
        <is>
          <t>! UNCLEAR - NEEDS REVIEW</t>
        </is>
      </c>
      <c r="G20" s="34">
        <f>IF($F20="","",IFERROR(INDEX(CATEGORIES!$C$5:$C$49,MATCH($F20,CATEGORIES!$B$5:$B$49,0)),"! UNKNOWN CATEGORY"))</f>
        <v/>
      </c>
      <c r="H20" s="21" t="n"/>
      <c r="I20" s="33" t="n"/>
      <c r="J20" s="35">
        <f>IF($A20="","",YEAR($A20)*100+MONTH($A20))</f>
        <v/>
      </c>
      <c r="K20" s="21" t="inlineStr">
        <is>
          <t>? Crew or sub — Michelle</t>
        </is>
      </c>
    </row>
    <row r="21">
      <c r="A21" s="32" t="n">
        <v>46084</v>
      </c>
      <c r="B21" s="21" t="inlineStr">
        <is>
          <t>EQ - Sole Prop Chequing</t>
        </is>
      </c>
      <c r="C21" s="21" t="inlineStr">
        <is>
          <t>Interac e-Transfer sent to Canopyco</t>
        </is>
      </c>
      <c r="D21" s="33" t="n">
        <v>-250</v>
      </c>
      <c r="E21" s="34">
        <f>IF($B21="","",IFERROR(INDEX('ACCOUNT MAP'!$C$6:$C$44,MATCH($B21,'ACCOUNT MAP'!$A$6:$A$44,0)),"! UNMAPPED ACCOUNT"))</f>
        <v/>
      </c>
      <c r="F21" s="21" t="inlineStr">
        <is>
          <t>! UNCLEAR - NEEDS REVIEW</t>
        </is>
      </c>
      <c r="G21" s="34">
        <f>IF($F21="","",IFERROR(INDEX(CATEGORIES!$C$5:$C$49,MATCH($F21,CATEGORIES!$B$5:$B$49,0)),"! UNKNOWN CATEGORY"))</f>
        <v/>
      </c>
      <c r="H21" s="21" t="n"/>
      <c r="I21" s="33" t="n"/>
      <c r="J21" s="35">
        <f>IF($A21="","",YEAR($A21)*100+MONTH($A21))</f>
        <v/>
      </c>
      <c r="K21" s="21" t="inlineStr">
        <is>
          <t>? Canopyco — UNIDENTIFIED</t>
        </is>
      </c>
    </row>
    <row r="22">
      <c r="A22" s="32" t="n">
        <v>46088</v>
      </c>
      <c r="B22" s="21" t="inlineStr">
        <is>
          <t>EQ - Sole Prop Chequing</t>
        </is>
      </c>
      <c r="C22" s="21" t="inlineStr">
        <is>
          <t>Interac e-Transfer sent to Kierran Kivinen</t>
        </is>
      </c>
      <c r="D22" s="33" t="n">
        <v>-435.42</v>
      </c>
      <c r="E22" s="34">
        <f>IF($B22="","",IFERROR(INDEX('ACCOUNT MAP'!$C$6:$C$44,MATCH($B22,'ACCOUNT MAP'!$A$6:$A$44,0)),"! UNMAPPED ACCOUNT"))</f>
        <v/>
      </c>
      <c r="F22" s="21" t="inlineStr">
        <is>
          <t>Crew wages (net pay out)</t>
        </is>
      </c>
      <c r="G22" s="34">
        <f>IF($F22="","",IFERROR(INDEX(CATEGORIES!$C$5:$C$49,MATCH($F22,CATEGORIES!$B$5:$B$49,0)),"! UNKNOWN CATEGORY"))</f>
        <v/>
      </c>
      <c r="H22" s="21" t="n"/>
      <c r="I22" s="33" t="n"/>
      <c r="J22" s="35">
        <f>IF($A22="","",YEAR($A22)*100+MONTH($A22))</f>
        <v/>
      </c>
      <c r="K22" s="21" t="inlineStr"/>
    </row>
    <row r="23">
      <c r="A23" s="32" t="n">
        <v>46090</v>
      </c>
      <c r="B23" s="21" t="inlineStr">
        <is>
          <t>EQ - Sole Prop Chequing</t>
        </is>
      </c>
      <c r="C23" s="21" t="inlineStr">
        <is>
          <t>Mobile cheque deposit</t>
        </is>
      </c>
      <c r="D23" s="33" t="n">
        <v>1925.83</v>
      </c>
      <c r="E23" s="34">
        <f>IF($B23="","",IFERROR(INDEX('ACCOUNT MAP'!$C$6:$C$44,MATCH($B23,'ACCOUNT MAP'!$A$6:$A$44,0)),"! UNMAPPED ACCOUNT"))</f>
        <v/>
      </c>
      <c r="F23" s="21" t="inlineStr">
        <is>
          <t>Client payment received</t>
        </is>
      </c>
      <c r="G23" s="34">
        <f>IF($F23="","",IFERROR(INDEX(CATEGORIES!$C$5:$C$49,MATCH($F23,CATEGORIES!$B$5:$B$49,0)),"! UNKNOWN CATEGORY"))</f>
        <v/>
      </c>
      <c r="H23" s="21" t="n"/>
      <c r="I23" s="33" t="n">
        <v>91.70999999999999</v>
      </c>
      <c r="J23" s="35">
        <f>IF($A23="","",YEAR($A23)*100+MONTH($A23))</f>
        <v/>
      </c>
      <c r="K23" s="21" t="inlineStr"/>
    </row>
    <row r="24">
      <c r="A24" s="32" t="n">
        <v>46091</v>
      </c>
      <c r="B24" s="21" t="inlineStr">
        <is>
          <t>EQ - Sole Prop Chequing</t>
        </is>
      </c>
      <c r="C24" s="21" t="inlineStr">
        <is>
          <t>Mobile cheque deposit</t>
        </is>
      </c>
      <c r="D24" s="33" t="n">
        <v>1020.14</v>
      </c>
      <c r="E24" s="34">
        <f>IF($B24="","",IFERROR(INDEX('ACCOUNT MAP'!$C$6:$C$44,MATCH($B24,'ACCOUNT MAP'!$A$6:$A$44,0)),"! UNMAPPED ACCOUNT"))</f>
        <v/>
      </c>
      <c r="F24" s="21" t="inlineStr">
        <is>
          <t>Client payment received</t>
        </is>
      </c>
      <c r="G24" s="34">
        <f>IF($F24="","",IFERROR(INDEX(CATEGORIES!$C$5:$C$49,MATCH($F24,CATEGORIES!$B$5:$B$49,0)),"! UNKNOWN CATEGORY"))</f>
        <v/>
      </c>
      <c r="H24" s="21" t="n"/>
      <c r="I24" s="33" t="n">
        <v>48.58</v>
      </c>
      <c r="J24" s="35">
        <f>IF($A24="","",YEAR($A24)*100+MONTH($A24))</f>
        <v/>
      </c>
      <c r="K24" s="21" t="inlineStr"/>
    </row>
    <row r="25">
      <c r="A25" s="32" t="n">
        <v>46091</v>
      </c>
      <c r="B25" s="21" t="inlineStr">
        <is>
          <t>EQ - Sole Prop Chequing</t>
        </is>
      </c>
      <c r="C25" s="21" t="inlineStr">
        <is>
          <t>Mobile cheque deposit</t>
        </is>
      </c>
      <c r="D25" s="33" t="n">
        <v>1797.06</v>
      </c>
      <c r="E25" s="34">
        <f>IF($B25="","",IFERROR(INDEX('ACCOUNT MAP'!$C$6:$C$44,MATCH($B25,'ACCOUNT MAP'!$A$6:$A$44,0)),"! UNMAPPED ACCOUNT"))</f>
        <v/>
      </c>
      <c r="F25" s="21" t="inlineStr">
        <is>
          <t>Client payment received</t>
        </is>
      </c>
      <c r="G25" s="34">
        <f>IF($F25="","",IFERROR(INDEX(CATEGORIES!$C$5:$C$49,MATCH($F25,CATEGORIES!$B$5:$B$49,0)),"! UNKNOWN CATEGORY"))</f>
        <v/>
      </c>
      <c r="H25" s="21" t="n"/>
      <c r="I25" s="33" t="n">
        <v>85.56999999999999</v>
      </c>
      <c r="J25" s="35">
        <f>IF($A25="","",YEAR($A25)*100+MONTH($A25))</f>
        <v/>
      </c>
      <c r="K25" s="21" t="inlineStr"/>
    </row>
    <row r="26">
      <c r="A26" s="32" t="n">
        <v>46091</v>
      </c>
      <c r="B26" s="21" t="inlineStr">
        <is>
          <t>EQ - Sole Prop Chequing</t>
        </is>
      </c>
      <c r="C26" s="21" t="inlineStr">
        <is>
          <t>Auto-withdrawal by Wave PYRL</t>
        </is>
      </c>
      <c r="D26" s="33" t="n">
        <v>-1105.7</v>
      </c>
      <c r="E26" s="34">
        <f>IF($B26="","",IFERROR(INDEX('ACCOUNT MAP'!$C$6:$C$44,MATCH($B26,'ACCOUNT MAP'!$A$6:$A$44,0)),"! UNMAPPED ACCOUNT"))</f>
        <v/>
      </c>
      <c r="F26" s="21" t="inlineStr">
        <is>
          <t>Crew wages (net pay out)</t>
        </is>
      </c>
      <c r="G26" s="34">
        <f>IF($F26="","",IFERROR(INDEX(CATEGORIES!$C$5:$C$49,MATCH($F26,CATEGORIES!$B$5:$B$49,0)),"! UNKNOWN CATEGORY"))</f>
        <v/>
      </c>
      <c r="H26" s="21" t="n"/>
      <c r="I26" s="33" t="n"/>
      <c r="J26" s="35">
        <f>IF($A26="","",YEAR($A26)*100+MONTH($A26))</f>
        <v/>
      </c>
      <c r="K26" s="21" t="inlineStr"/>
    </row>
    <row r="27">
      <c r="A27" s="32" t="n">
        <v>46091</v>
      </c>
      <c r="B27" s="21" t="inlineStr">
        <is>
          <t>EQ - Sole Prop Chequing</t>
        </is>
      </c>
      <c r="C27" s="21" t="inlineStr">
        <is>
          <t>Interac e-Transfer sent to Canopyco</t>
        </is>
      </c>
      <c r="D27" s="33" t="n">
        <v>-5000</v>
      </c>
      <c r="E27" s="34">
        <f>IF($B27="","",IFERROR(INDEX('ACCOUNT MAP'!$C$6:$C$44,MATCH($B27,'ACCOUNT MAP'!$A$6:$A$44,0)),"! UNMAPPED ACCOUNT"))</f>
        <v/>
      </c>
      <c r="F27" s="21" t="inlineStr">
        <is>
          <t>! UNCLEAR - NEEDS REVIEW</t>
        </is>
      </c>
      <c r="G27" s="34">
        <f>IF($F27="","",IFERROR(INDEX(CATEGORIES!$C$5:$C$49,MATCH($F27,CATEGORIES!$B$5:$B$49,0)),"! UNKNOWN CATEGORY"))</f>
        <v/>
      </c>
      <c r="H27" s="21" t="n"/>
      <c r="I27" s="33" t="n"/>
      <c r="J27" s="35">
        <f>IF($A27="","",YEAR($A27)*100+MONTH($A27))</f>
        <v/>
      </c>
      <c r="K27" s="21" t="inlineStr">
        <is>
          <t>? Canopyco — UNIDENTIFIED</t>
        </is>
      </c>
    </row>
    <row r="28">
      <c r="A28" s="32" t="n">
        <v>46092</v>
      </c>
      <c r="B28" s="21" t="inlineStr">
        <is>
          <t>EQ - Sole Prop Chequing</t>
        </is>
      </c>
      <c r="C28" s="21" t="inlineStr">
        <is>
          <t>Mobile cheque deposit</t>
        </is>
      </c>
      <c r="D28" s="33" t="n">
        <v>10569.01</v>
      </c>
      <c r="E28" s="34">
        <f>IF($B28="","",IFERROR(INDEX('ACCOUNT MAP'!$C$6:$C$44,MATCH($B28,'ACCOUNT MAP'!$A$6:$A$44,0)),"! UNMAPPED ACCOUNT"))</f>
        <v/>
      </c>
      <c r="F28" s="21" t="inlineStr">
        <is>
          <t>Client payment received</t>
        </is>
      </c>
      <c r="G28" s="34">
        <f>IF($F28="","",IFERROR(INDEX(CATEGORIES!$C$5:$C$49,MATCH($F28,CATEGORIES!$B$5:$B$49,0)),"! UNKNOWN CATEGORY"))</f>
        <v/>
      </c>
      <c r="H28" s="21" t="n"/>
      <c r="I28" s="33" t="n">
        <v>503.29</v>
      </c>
      <c r="J28" s="35">
        <f>IF($A28="","",YEAR($A28)*100+MONTH($A28))</f>
        <v/>
      </c>
      <c r="K28" s="21" t="inlineStr"/>
    </row>
    <row r="29">
      <c r="A29" s="32" t="n">
        <v>46092</v>
      </c>
      <c r="B29" s="21" t="inlineStr">
        <is>
          <t>EQ - Sole Prop Chequing</t>
        </is>
      </c>
      <c r="C29" s="21" t="inlineStr">
        <is>
          <t>Mobile cheque deposit</t>
        </is>
      </c>
      <c r="D29" s="33" t="n">
        <v>-10569.01</v>
      </c>
      <c r="E29" s="34">
        <f>IF($B29="","",IFERROR(INDEX('ACCOUNT MAP'!$C$6:$C$44,MATCH($B29,'ACCOUNT MAP'!$A$6:$A$44,0)),"! UNMAPPED ACCOUNT"))</f>
        <v/>
      </c>
      <c r="F29" s="21" t="inlineStr">
        <is>
          <t>Client payment received</t>
        </is>
      </c>
      <c r="G29" s="34">
        <f>IF($F29="","",IFERROR(INDEX(CATEGORIES!$C$5:$C$49,MATCH($F29,CATEGORIES!$B$5:$B$49,0)),"! UNKNOWN CATEGORY"))</f>
        <v/>
      </c>
      <c r="H29" s="21" t="n"/>
      <c r="I29" s="33" t="n"/>
      <c r="J29" s="35">
        <f>IF($A29="","",YEAR($A29)*100+MONTH($A29))</f>
        <v/>
      </c>
      <c r="K29" s="21" t="inlineStr"/>
    </row>
    <row r="30">
      <c r="A30" s="32" t="n">
        <v>46093</v>
      </c>
      <c r="B30" s="21" t="inlineStr">
        <is>
          <t>EQ - Sole Prop Chequing</t>
        </is>
      </c>
      <c r="C30" s="21" t="inlineStr">
        <is>
          <t>Mobile cheque deposit</t>
        </is>
      </c>
      <c r="D30" s="33" t="n">
        <v>10569.01</v>
      </c>
      <c r="E30" s="34">
        <f>IF($B30="","",IFERROR(INDEX('ACCOUNT MAP'!$C$6:$C$44,MATCH($B30,'ACCOUNT MAP'!$A$6:$A$44,0)),"! UNMAPPED ACCOUNT"))</f>
        <v/>
      </c>
      <c r="F30" s="21" t="inlineStr">
        <is>
          <t>Client payment received</t>
        </is>
      </c>
      <c r="G30" s="34">
        <f>IF($F30="","",IFERROR(INDEX(CATEGORIES!$C$5:$C$49,MATCH($F30,CATEGORIES!$B$5:$B$49,0)),"! UNKNOWN CATEGORY"))</f>
        <v/>
      </c>
      <c r="H30" s="21" t="n"/>
      <c r="I30" s="33" t="n">
        <v>503.29</v>
      </c>
      <c r="J30" s="35">
        <f>IF($A30="","",YEAR($A30)*100+MONTH($A30))</f>
        <v/>
      </c>
      <c r="K30" s="21" t="inlineStr"/>
    </row>
    <row r="31">
      <c r="A31" s="32" t="n">
        <v>46093</v>
      </c>
      <c r="B31" s="21" t="inlineStr">
        <is>
          <t>EQ - Sole Prop Chequing</t>
        </is>
      </c>
      <c r="C31" s="21" t="inlineStr">
        <is>
          <t>Interac e-Transfer sent to PND GRAVEL MART</t>
        </is>
      </c>
      <c r="D31" s="33" t="n">
        <v>-151.2</v>
      </c>
      <c r="E31" s="34">
        <f>IF($B31="","",IFERROR(INDEX('ACCOUNT MAP'!$C$6:$C$44,MATCH($B31,'ACCOUNT MAP'!$A$6:$A$44,0)),"! UNMAPPED ACCOUNT"))</f>
        <v/>
      </c>
      <c r="F31" s="21" t="inlineStr">
        <is>
          <t>Materials and plants</t>
        </is>
      </c>
      <c r="G31" s="34">
        <f>IF($F31="","",IFERROR(INDEX(CATEGORIES!$C$5:$C$49,MATCH($F31,CATEGORIES!$B$5:$B$49,0)),"! UNKNOWN CATEGORY"))</f>
        <v/>
      </c>
      <c r="H31" s="21" t="n"/>
      <c r="I31" s="33" t="n"/>
      <c r="J31" s="35">
        <f>IF($A31="","",YEAR($A31)*100+MONTH($A31))</f>
        <v/>
      </c>
      <c r="K31" s="21" t="inlineStr"/>
    </row>
    <row r="32">
      <c r="A32" s="32" t="n">
        <v>46093</v>
      </c>
      <c r="B32" s="21" t="inlineStr">
        <is>
          <t>EQ - Sole Prop Chequing</t>
        </is>
      </c>
      <c r="C32" s="21" t="inlineStr">
        <is>
          <t>Interac e-Transfer sent to PND GRAVEL MART</t>
        </is>
      </c>
      <c r="D32" s="33" t="n">
        <v>-112</v>
      </c>
      <c r="E32" s="34">
        <f>IF($B32="","",IFERROR(INDEX('ACCOUNT MAP'!$C$6:$C$44,MATCH($B32,'ACCOUNT MAP'!$A$6:$A$44,0)),"! UNMAPPED ACCOUNT"))</f>
        <v/>
      </c>
      <c r="F32" s="21" t="inlineStr">
        <is>
          <t>Materials and plants</t>
        </is>
      </c>
      <c r="G32" s="34">
        <f>IF($F32="","",IFERROR(INDEX(CATEGORIES!$C$5:$C$49,MATCH($F32,CATEGORIES!$B$5:$B$49,0)),"! UNKNOWN CATEGORY"))</f>
        <v/>
      </c>
      <c r="H32" s="21" t="n"/>
      <c r="I32" s="33" t="n"/>
      <c r="J32" s="35">
        <f>IF($A32="","",YEAR($A32)*100+MONTH($A32))</f>
        <v/>
      </c>
      <c r="K32" s="21" t="inlineStr"/>
    </row>
    <row r="33">
      <c r="A33" s="32" t="n">
        <v>46093</v>
      </c>
      <c r="B33" s="21" t="inlineStr">
        <is>
          <t>EQ - Sole Prop Chequing</t>
        </is>
      </c>
      <c r="C33" s="21" t="inlineStr">
        <is>
          <t>Interac e-Transfer sent to PND GRAVEL MART</t>
        </is>
      </c>
      <c r="D33" s="33" t="n">
        <v>-398.72</v>
      </c>
      <c r="E33" s="34">
        <f>IF($B33="","",IFERROR(INDEX('ACCOUNT MAP'!$C$6:$C$44,MATCH($B33,'ACCOUNT MAP'!$A$6:$A$44,0)),"! UNMAPPED ACCOUNT"))</f>
        <v/>
      </c>
      <c r="F33" s="21" t="inlineStr">
        <is>
          <t>Materials and plants</t>
        </is>
      </c>
      <c r="G33" s="34">
        <f>IF($F33="","",IFERROR(INDEX(CATEGORIES!$C$5:$C$49,MATCH($F33,CATEGORIES!$B$5:$B$49,0)),"! UNKNOWN CATEGORY"))</f>
        <v/>
      </c>
      <c r="H33" s="21" t="n"/>
      <c r="I33" s="33" t="n"/>
      <c r="J33" s="35">
        <f>IF($A33="","",YEAR($A33)*100+MONTH($A33))</f>
        <v/>
      </c>
      <c r="K33" s="21" t="inlineStr"/>
    </row>
    <row r="34">
      <c r="A34" s="32" t="n">
        <v>46093</v>
      </c>
      <c r="B34" s="21" t="inlineStr">
        <is>
          <t>EQ - Sole Prop Chequing</t>
        </is>
      </c>
      <c r="C34" s="21" t="inlineStr">
        <is>
          <t>Interac e-Transfer sent to PND GRAVEL MART</t>
        </is>
      </c>
      <c r="D34" s="33" t="n">
        <v>-1267.84</v>
      </c>
      <c r="E34" s="34">
        <f>IF($B34="","",IFERROR(INDEX('ACCOUNT MAP'!$C$6:$C$44,MATCH($B34,'ACCOUNT MAP'!$A$6:$A$44,0)),"! UNMAPPED ACCOUNT"))</f>
        <v/>
      </c>
      <c r="F34" s="21" t="inlineStr">
        <is>
          <t>Materials and plants</t>
        </is>
      </c>
      <c r="G34" s="34">
        <f>IF($F34="","",IFERROR(INDEX(CATEGORIES!$C$5:$C$49,MATCH($F34,CATEGORIES!$B$5:$B$49,0)),"! UNKNOWN CATEGORY"))</f>
        <v/>
      </c>
      <c r="H34" s="21" t="n"/>
      <c r="I34" s="33" t="n"/>
      <c r="J34" s="35">
        <f>IF($A34="","",YEAR($A34)*100+MONTH($A34))</f>
        <v/>
      </c>
      <c r="K34" s="21" t="inlineStr"/>
    </row>
    <row r="35">
      <c r="A35" s="32" t="n">
        <v>46093</v>
      </c>
      <c r="B35" s="21" t="inlineStr">
        <is>
          <t>EQ - Sole Prop Chequing</t>
        </is>
      </c>
      <c r="C35" s="21" t="inlineStr">
        <is>
          <t>Mobile cheque deposit</t>
        </is>
      </c>
      <c r="D35" s="33" t="n">
        <v>-10569.01</v>
      </c>
      <c r="E35" s="34">
        <f>IF($B35="","",IFERROR(INDEX('ACCOUNT MAP'!$C$6:$C$44,MATCH($B35,'ACCOUNT MAP'!$A$6:$A$44,0)),"! UNMAPPED ACCOUNT"))</f>
        <v/>
      </c>
      <c r="F35" s="21" t="inlineStr">
        <is>
          <t>Client payment received</t>
        </is>
      </c>
      <c r="G35" s="34">
        <f>IF($F35="","",IFERROR(INDEX(CATEGORIES!$C$5:$C$49,MATCH($F35,CATEGORIES!$B$5:$B$49,0)),"! UNKNOWN CATEGORY"))</f>
        <v/>
      </c>
      <c r="H35" s="21" t="n"/>
      <c r="I35" s="33" t="n"/>
      <c r="J35" s="35">
        <f>IF($A35="","",YEAR($A35)*100+MONTH($A35))</f>
        <v/>
      </c>
      <c r="K35" s="21" t="inlineStr"/>
    </row>
    <row r="36">
      <c r="A36" s="32" t="n">
        <v>46096</v>
      </c>
      <c r="B36" s="21" t="inlineStr">
        <is>
          <t>EQ - Sole Prop Chequing</t>
        </is>
      </c>
      <c r="C36" s="21" t="inlineStr">
        <is>
          <t>Interac e-Transfer received from  BEVERLY DEVRIES</t>
        </is>
      </c>
      <c r="D36" s="33" t="n">
        <v>840</v>
      </c>
      <c r="E36" s="34">
        <f>IF($B36="","",IFERROR(INDEX('ACCOUNT MAP'!$C$6:$C$44,MATCH($B36,'ACCOUNT MAP'!$A$6:$A$44,0)),"! UNMAPPED ACCOUNT"))</f>
        <v/>
      </c>
      <c r="F36" s="21" t="inlineStr">
        <is>
          <t>Client payment received</t>
        </is>
      </c>
      <c r="G36" s="34">
        <f>IF($F36="","",IFERROR(INDEX(CATEGORIES!$C$5:$C$49,MATCH($F36,CATEGORIES!$B$5:$B$49,0)),"! UNKNOWN CATEGORY"))</f>
        <v/>
      </c>
      <c r="H36" s="21" t="n"/>
      <c r="I36" s="33" t="n">
        <v>40</v>
      </c>
      <c r="J36" s="35">
        <f>IF($A36="","",YEAR($A36)*100+MONTH($A36))</f>
        <v/>
      </c>
      <c r="K36" s="21" t="inlineStr"/>
    </row>
    <row r="37">
      <c r="A37" s="32" t="n">
        <v>46096</v>
      </c>
      <c r="B37" s="21" t="inlineStr">
        <is>
          <t>EQ - Sole Prop Chequing</t>
        </is>
      </c>
      <c r="C37" s="21" t="inlineStr">
        <is>
          <t>Interac e-Transfer sent to Kierran Kivinen</t>
        </is>
      </c>
      <c r="D37" s="33" t="n">
        <v>-622.29</v>
      </c>
      <c r="E37" s="34">
        <f>IF($B37="","",IFERROR(INDEX('ACCOUNT MAP'!$C$6:$C$44,MATCH($B37,'ACCOUNT MAP'!$A$6:$A$44,0)),"! UNMAPPED ACCOUNT"))</f>
        <v/>
      </c>
      <c r="F37" s="21" t="inlineStr">
        <is>
          <t>Crew wages (net pay out)</t>
        </is>
      </c>
      <c r="G37" s="34">
        <f>IF($F37="","",IFERROR(INDEX(CATEGORIES!$C$5:$C$49,MATCH($F37,CATEGORIES!$B$5:$B$49,0)),"! UNKNOWN CATEGORY"))</f>
        <v/>
      </c>
      <c r="H37" s="21" t="n"/>
      <c r="I37" s="33" t="n"/>
      <c r="J37" s="35">
        <f>IF($A37="","",YEAR($A37)*100+MONTH($A37))</f>
        <v/>
      </c>
      <c r="K37" s="21" t="inlineStr"/>
    </row>
    <row r="38">
      <c r="A38" s="32" t="n">
        <v>46098</v>
      </c>
      <c r="B38" s="21" t="inlineStr">
        <is>
          <t>EQ - Sole Prop Chequing</t>
        </is>
      </c>
      <c r="C38" s="21" t="inlineStr">
        <is>
          <t>Auto-withdrawal by Gore Mutual</t>
        </is>
      </c>
      <c r="D38" s="33" t="n">
        <v>-93.8</v>
      </c>
      <c r="E38" s="34">
        <f>IF($B38="","",IFERROR(INDEX('ACCOUNT MAP'!$C$6:$C$44,MATCH($B38,'ACCOUNT MAP'!$A$6:$A$44,0)),"! UNMAPPED ACCOUNT"))</f>
        <v/>
      </c>
      <c r="F38" s="21" t="inlineStr">
        <is>
          <t>Liability insurance</t>
        </is>
      </c>
      <c r="G38" s="34">
        <f>IF($F38="","",IFERROR(INDEX(CATEGORIES!$C$5:$C$49,MATCH($F38,CATEGORIES!$B$5:$B$49,0)),"! UNKNOWN CATEGORY"))</f>
        <v/>
      </c>
      <c r="H38" s="21" t="n"/>
      <c r="I38" s="33" t="n"/>
      <c r="J38" s="35">
        <f>IF($A38="","",YEAR($A38)*100+MONTH($A38))</f>
        <v/>
      </c>
      <c r="K38" s="21" t="inlineStr"/>
    </row>
    <row r="39">
      <c r="A39" s="32" t="n">
        <v>46099</v>
      </c>
      <c r="B39" s="21" t="inlineStr">
        <is>
          <t>EQ - Sole Prop Chequing</t>
        </is>
      </c>
      <c r="C39" s="21" t="inlineStr">
        <is>
          <t>Mobile cheque deposit</t>
        </is>
      </c>
      <c r="D39" s="33" t="n">
        <v>11532</v>
      </c>
      <c r="E39" s="34">
        <f>IF($B39="","",IFERROR(INDEX('ACCOUNT MAP'!$C$6:$C$44,MATCH($B39,'ACCOUNT MAP'!$A$6:$A$44,0)),"! UNMAPPED ACCOUNT"))</f>
        <v/>
      </c>
      <c r="F39" s="21" t="inlineStr">
        <is>
          <t>Client payment received</t>
        </is>
      </c>
      <c r="G39" s="34">
        <f>IF($F39="","",IFERROR(INDEX(CATEGORIES!$C$5:$C$49,MATCH($F39,CATEGORIES!$B$5:$B$49,0)),"! UNKNOWN CATEGORY"))</f>
        <v/>
      </c>
      <c r="H39" s="21" t="n"/>
      <c r="I39" s="33" t="n">
        <v>549.14</v>
      </c>
      <c r="J39" s="35">
        <f>IF($A39="","",YEAR($A39)*100+MONTH($A39))</f>
        <v/>
      </c>
      <c r="K39" s="21" t="inlineStr"/>
    </row>
    <row r="40">
      <c r="A40" s="32" t="n">
        <v>46101</v>
      </c>
      <c r="B40" s="21" t="inlineStr">
        <is>
          <t>EQ - Sole Prop Chequing</t>
        </is>
      </c>
      <c r="C40" s="21" t="inlineStr">
        <is>
          <t>Interac e-Transfer received from  PACIFIC CITY DEVELOPMENTS INC.</t>
        </is>
      </c>
      <c r="D40" s="33" t="n">
        <v>2136.79</v>
      </c>
      <c r="E40" s="34">
        <f>IF($B40="","",IFERROR(INDEX('ACCOUNT MAP'!$C$6:$C$44,MATCH($B40,'ACCOUNT MAP'!$A$6:$A$44,0)),"! UNMAPPED ACCOUNT"))</f>
        <v/>
      </c>
      <c r="F40" s="21" t="inlineStr">
        <is>
          <t>Client payment received</t>
        </is>
      </c>
      <c r="G40" s="34">
        <f>IF($F40="","",IFERROR(INDEX(CATEGORIES!$C$5:$C$49,MATCH($F40,CATEGORIES!$B$5:$B$49,0)),"! UNKNOWN CATEGORY"))</f>
        <v/>
      </c>
      <c r="H40" s="21" t="n"/>
      <c r="I40" s="33" t="n">
        <v>101.75</v>
      </c>
      <c r="J40" s="35">
        <f>IF($A40="","",YEAR($A40)*100+MONTH($A40))</f>
        <v/>
      </c>
      <c r="K40" s="21" t="inlineStr"/>
    </row>
    <row r="41">
      <c r="A41" s="32" t="n">
        <v>46107</v>
      </c>
      <c r="B41" s="21" t="inlineStr">
        <is>
          <t>EQ - Sole Prop Chequing</t>
        </is>
      </c>
      <c r="C41" s="21" t="inlineStr">
        <is>
          <t>Interac e-Transfer sent to PND GRAVEL MART</t>
        </is>
      </c>
      <c r="D41" s="33" t="n">
        <v>-53.2</v>
      </c>
      <c r="E41" s="34">
        <f>IF($B41="","",IFERROR(INDEX('ACCOUNT MAP'!$C$6:$C$44,MATCH($B41,'ACCOUNT MAP'!$A$6:$A$44,0)),"! UNMAPPED ACCOUNT"))</f>
        <v/>
      </c>
      <c r="F41" s="21" t="inlineStr">
        <is>
          <t>Materials and plants</t>
        </is>
      </c>
      <c r="G41" s="34">
        <f>IF($F41="","",IFERROR(INDEX(CATEGORIES!$C$5:$C$49,MATCH($F41,CATEGORIES!$B$5:$B$49,0)),"! UNKNOWN CATEGORY"))</f>
        <v/>
      </c>
      <c r="H41" s="21" t="n"/>
      <c r="I41" s="33" t="n"/>
      <c r="J41" s="35">
        <f>IF($A41="","",YEAR($A41)*100+MONTH($A41))</f>
        <v/>
      </c>
      <c r="K41" s="21" t="inlineStr"/>
    </row>
    <row r="42">
      <c r="A42" s="32" t="n">
        <v>46107</v>
      </c>
      <c r="B42" s="21" t="inlineStr">
        <is>
          <t>EQ - Sole Prop Chequing</t>
        </is>
      </c>
      <c r="C42" s="21" t="inlineStr">
        <is>
          <t>Interac e-Transfer sent to PND GRAVEL MART</t>
        </is>
      </c>
      <c r="D42" s="33" t="n">
        <v>-364</v>
      </c>
      <c r="E42" s="34">
        <f>IF($B42="","",IFERROR(INDEX('ACCOUNT MAP'!$C$6:$C$44,MATCH($B42,'ACCOUNT MAP'!$A$6:$A$44,0)),"! UNMAPPED ACCOUNT"))</f>
        <v/>
      </c>
      <c r="F42" s="21" t="inlineStr">
        <is>
          <t>Materials and plants</t>
        </is>
      </c>
      <c r="G42" s="34">
        <f>IF($F42="","",IFERROR(INDEX(CATEGORIES!$C$5:$C$49,MATCH($F42,CATEGORIES!$B$5:$B$49,0)),"! UNKNOWN CATEGORY"))</f>
        <v/>
      </c>
      <c r="H42" s="21" t="n"/>
      <c r="I42" s="33" t="n"/>
      <c r="J42" s="35">
        <f>IF($A42="","",YEAR($A42)*100+MONTH($A42))</f>
        <v/>
      </c>
      <c r="K42" s="21" t="inlineStr"/>
    </row>
    <row r="43">
      <c r="A43" s="32" t="n">
        <v>46107</v>
      </c>
      <c r="B43" s="21" t="inlineStr">
        <is>
          <t>EQ - Sole Prop Chequing</t>
        </is>
      </c>
      <c r="C43" s="21" t="inlineStr">
        <is>
          <t>Interac e-Transfer sent to PND GRAVEL MART</t>
        </is>
      </c>
      <c r="D43" s="33" t="n">
        <v>-316.41</v>
      </c>
      <c r="E43" s="34">
        <f>IF($B43="","",IFERROR(INDEX('ACCOUNT MAP'!$C$6:$C$44,MATCH($B43,'ACCOUNT MAP'!$A$6:$A$44,0)),"! UNMAPPED ACCOUNT"))</f>
        <v/>
      </c>
      <c r="F43" s="21" t="inlineStr">
        <is>
          <t>Materials and plants</t>
        </is>
      </c>
      <c r="G43" s="34">
        <f>IF($F43="","",IFERROR(INDEX(CATEGORIES!$C$5:$C$49,MATCH($F43,CATEGORIES!$B$5:$B$49,0)),"! UNKNOWN CATEGORY"))</f>
        <v/>
      </c>
      <c r="H43" s="21" t="n"/>
      <c r="I43" s="33" t="n"/>
      <c r="J43" s="35">
        <f>IF($A43="","",YEAR($A43)*100+MONTH($A43))</f>
        <v/>
      </c>
      <c r="K43" s="21" t="inlineStr"/>
    </row>
    <row r="44">
      <c r="A44" s="32" t="n">
        <v>46108</v>
      </c>
      <c r="B44" s="21" t="inlineStr">
        <is>
          <t>EQ - Sole Prop Chequing</t>
        </is>
      </c>
      <c r="C44" s="21" t="inlineStr">
        <is>
          <t>Auto-withdrawal by AMEX BILL PYMT</t>
        </is>
      </c>
      <c r="D44" s="33" t="n">
        <v>-7117.29</v>
      </c>
      <c r="E44" s="34">
        <f>IF($B44="","",IFERROR(INDEX('ACCOUNT MAP'!$C$6:$C$44,MATCH($B44,'ACCOUNT MAP'!$A$6:$A$44,0)),"! UNMAPPED ACCOUNT"))</f>
        <v/>
      </c>
      <c r="F44" s="21" t="inlineStr">
        <is>
          <t>! UNCLEAR - NEEDS REVIEW</t>
        </is>
      </c>
      <c r="G44" s="34">
        <f>IF($F44="","",IFERROR(INDEX(CATEGORIES!$C$5:$C$49,MATCH($F44,CATEGORIES!$B$5:$B$49,0)),"! UNKNOWN CATEGORY"))</f>
        <v/>
      </c>
      <c r="H44" s="21" t="n"/>
      <c r="I44" s="33" t="n"/>
      <c r="J44" s="35">
        <f>IF($A44="","",YEAR($A44)*100+MONTH($A44))</f>
        <v/>
      </c>
      <c r="K44" s="21" t="inlineStr">
        <is>
          <t>Credit card payment — AMEX BILL PYMT</t>
        </is>
      </c>
    </row>
    <row r="45">
      <c r="A45" s="32" t="n">
        <v>46111</v>
      </c>
      <c r="B45" s="21" t="inlineStr">
        <is>
          <t>EQ - Sole Prop Chequing</t>
        </is>
      </c>
      <c r="C45" s="21" t="inlineStr">
        <is>
          <t>Interac e-Transfer sent to Kierran Kivinen</t>
        </is>
      </c>
      <c r="D45" s="33" t="n">
        <v>-566.8</v>
      </c>
      <c r="E45" s="34">
        <f>IF($B45="","",IFERROR(INDEX('ACCOUNT MAP'!$C$6:$C$44,MATCH($B45,'ACCOUNT MAP'!$A$6:$A$44,0)),"! UNMAPPED ACCOUNT"))</f>
        <v/>
      </c>
      <c r="F45" s="21" t="inlineStr">
        <is>
          <t>Crew wages (net pay out)</t>
        </is>
      </c>
      <c r="G45" s="34">
        <f>IF($F45="","",IFERROR(INDEX(CATEGORIES!$C$5:$C$49,MATCH($F45,CATEGORIES!$B$5:$B$49,0)),"! UNKNOWN CATEGORY"))</f>
        <v/>
      </c>
      <c r="H45" s="21" t="n"/>
      <c r="I45" s="33" t="n"/>
      <c r="J45" s="35">
        <f>IF($A45="","",YEAR($A45)*100+MONTH($A45))</f>
        <v/>
      </c>
      <c r="K45" s="21" t="inlineStr"/>
    </row>
    <row r="46">
      <c r="A46" s="32" t="n">
        <v>46111</v>
      </c>
      <c r="B46" s="21" t="inlineStr">
        <is>
          <t>EQ - Sole Prop Chequing</t>
        </is>
      </c>
      <c r="C46" s="21" t="inlineStr">
        <is>
          <t>Interac e-Transfer sent to Kierran Kivinen</t>
        </is>
      </c>
      <c r="D46" s="33" t="n">
        <v>-542.42</v>
      </c>
      <c r="E46" s="34">
        <f>IF($B46="","",IFERROR(INDEX('ACCOUNT MAP'!$C$6:$C$44,MATCH($B46,'ACCOUNT MAP'!$A$6:$A$44,0)),"! UNMAPPED ACCOUNT"))</f>
        <v/>
      </c>
      <c r="F46" s="21" t="inlineStr">
        <is>
          <t>Crew wages (net pay out)</t>
        </is>
      </c>
      <c r="G46" s="34">
        <f>IF($F46="","",IFERROR(INDEX(CATEGORIES!$C$5:$C$49,MATCH($F46,CATEGORIES!$B$5:$B$49,0)),"! UNKNOWN CATEGORY"))</f>
        <v/>
      </c>
      <c r="H46" s="21" t="n"/>
      <c r="I46" s="33" t="n"/>
      <c r="J46" s="35">
        <f>IF($A46="","",YEAR($A46)*100+MONTH($A46))</f>
        <v/>
      </c>
      <c r="K46" s="21" t="inlineStr"/>
    </row>
    <row r="47">
      <c r="A47" s="32" t="n">
        <v>46112</v>
      </c>
      <c r="B47" s="21" t="inlineStr">
        <is>
          <t>EQ - Sole Prop Chequing</t>
        </is>
      </c>
      <c r="C47" s="21" t="inlineStr">
        <is>
          <t>Interac e-Transfer sent to Patrick Wong</t>
        </is>
      </c>
      <c r="D47" s="33" t="n">
        <v>-312.37</v>
      </c>
      <c r="E47" s="34">
        <f>IF($B47="","",IFERROR(INDEX('ACCOUNT MAP'!$C$6:$C$44,MATCH($B47,'ACCOUNT MAP'!$A$6:$A$44,0)),"! UNMAPPED ACCOUNT"))</f>
        <v/>
      </c>
      <c r="F47" s="21" t="inlineStr">
        <is>
          <t>! UNCLEAR - NEEDS REVIEW</t>
        </is>
      </c>
      <c r="G47" s="34">
        <f>IF($F47="","",IFERROR(INDEX(CATEGORIES!$C$5:$C$49,MATCH($F47,CATEGORIES!$B$5:$B$49,0)),"! UNKNOWN CATEGORY"))</f>
        <v/>
      </c>
      <c r="H47" s="21" t="n"/>
      <c r="I47" s="33" t="n"/>
      <c r="J47" s="35">
        <f>IF($A47="","",YEAR($A47)*100+MONTH($A47))</f>
        <v/>
      </c>
      <c r="K47" s="21" t="inlineStr">
        <is>
          <t>? Crew or sub — Patrick Wong</t>
        </is>
      </c>
    </row>
    <row r="48">
      <c r="A48" s="32" t="n">
        <v>46112</v>
      </c>
      <c r="B48" s="21" t="inlineStr">
        <is>
          <t>EQ - Sole Prop Chequing</t>
        </is>
      </c>
      <c r="C48" s="21" t="inlineStr">
        <is>
          <t>Interest received</t>
        </is>
      </c>
      <c r="D48" s="33" t="n">
        <v>40.56</v>
      </c>
      <c r="E48" s="34">
        <f>IF($B48="","",IFERROR(INDEX('ACCOUNT MAP'!$C$6:$C$44,MATCH($B48,'ACCOUNT MAP'!$A$6:$A$44,0)),"! UNMAPPED ACCOUNT"))</f>
        <v/>
      </c>
      <c r="F48" s="21" t="inlineStr">
        <is>
          <t>Other business income</t>
        </is>
      </c>
      <c r="G48" s="34">
        <f>IF($F48="","",IFERROR(INDEX(CATEGORIES!$C$5:$C$49,MATCH($F48,CATEGORIES!$B$5:$B$49,0)),"! UNKNOWN CATEGORY"))</f>
        <v/>
      </c>
      <c r="H48" s="21" t="n"/>
      <c r="I48" s="33" t="n"/>
      <c r="J48" s="35">
        <f>IF($A48="","",YEAR($A48)*100+MONTH($A48))</f>
        <v/>
      </c>
      <c r="K48" s="21" t="inlineStr"/>
    </row>
    <row r="49">
      <c r="A49" s="32" t="n">
        <v>46113</v>
      </c>
      <c r="B49" s="21" t="inlineStr">
        <is>
          <t>EQ - Sole Prop Chequing</t>
        </is>
      </c>
      <c r="C49" s="21" t="inlineStr">
        <is>
          <t>Interac e-Transfer received from  CAROL-ANN SAARI</t>
        </is>
      </c>
      <c r="D49" s="33" t="n">
        <v>10000</v>
      </c>
      <c r="E49" s="34">
        <f>IF($B49="","",IFERROR(INDEX('ACCOUNT MAP'!$C$6:$C$44,MATCH($B49,'ACCOUNT MAP'!$A$6:$A$44,0)),"! UNMAPPED ACCOUNT"))</f>
        <v/>
      </c>
      <c r="F49" s="21" t="inlineStr">
        <is>
          <t>Client payment received</t>
        </is>
      </c>
      <c r="G49" s="34">
        <f>IF($F49="","",IFERROR(INDEX(CATEGORIES!$C$5:$C$49,MATCH($F49,CATEGORIES!$B$5:$B$49,0)),"! UNKNOWN CATEGORY"))</f>
        <v/>
      </c>
      <c r="H49" s="21" t="n"/>
      <c r="I49" s="33" t="n">
        <v>476.19</v>
      </c>
      <c r="J49" s="35">
        <f>IF($A49="","",YEAR($A49)*100+MONTH($A49))</f>
        <v/>
      </c>
      <c r="K49" s="21" t="inlineStr"/>
    </row>
    <row r="50">
      <c r="A50" s="32" t="n">
        <v>46114</v>
      </c>
      <c r="B50" s="21" t="inlineStr">
        <is>
          <t>EQ - Sole Prop Chequing</t>
        </is>
      </c>
      <c r="C50" s="21" t="inlineStr">
        <is>
          <t>Interac e-Transfer sent to Myles (YGGDRASIL HORTICUL</t>
        </is>
      </c>
      <c r="D50" s="33" t="n">
        <v>-1301.02</v>
      </c>
      <c r="E50" s="34">
        <f>IF($B50="","",IFERROR(INDEX('ACCOUNT MAP'!$C$6:$C$44,MATCH($B50,'ACCOUNT MAP'!$A$6:$A$44,0)),"! UNMAPPED ACCOUNT"))</f>
        <v/>
      </c>
      <c r="F50" s="21" t="inlineStr">
        <is>
          <t>Materials and plants</t>
        </is>
      </c>
      <c r="G50" s="34">
        <f>IF($F50="","",IFERROR(INDEX(CATEGORIES!$C$5:$C$49,MATCH($F50,CATEGORIES!$B$5:$B$49,0)),"! UNKNOWN CATEGORY"))</f>
        <v/>
      </c>
      <c r="H50" s="21" t="n"/>
      <c r="I50" s="33" t="n"/>
      <c r="J50" s="35">
        <f>IF($A50="","",YEAR($A50)*100+MONTH($A50))</f>
        <v/>
      </c>
      <c r="K50" s="21" t="inlineStr"/>
    </row>
    <row r="51">
      <c r="A51" s="32" t="n">
        <v>46114</v>
      </c>
      <c r="B51" s="21" t="inlineStr">
        <is>
          <t>EQ - Sole Prop Chequing</t>
        </is>
      </c>
      <c r="C51" s="21" t="inlineStr">
        <is>
          <t>Interac e-Transfer received from  CAROL-ANN SAARI</t>
        </is>
      </c>
      <c r="D51" s="33" t="n">
        <v>4594.07</v>
      </c>
      <c r="E51" s="34">
        <f>IF($B51="","",IFERROR(INDEX('ACCOUNT MAP'!$C$6:$C$44,MATCH($B51,'ACCOUNT MAP'!$A$6:$A$44,0)),"! UNMAPPED ACCOUNT"))</f>
        <v/>
      </c>
      <c r="F51" s="21" t="inlineStr">
        <is>
          <t>Client payment received</t>
        </is>
      </c>
      <c r="G51" s="34">
        <f>IF($F51="","",IFERROR(INDEX(CATEGORIES!$C$5:$C$49,MATCH($F51,CATEGORIES!$B$5:$B$49,0)),"! UNKNOWN CATEGORY"))</f>
        <v/>
      </c>
      <c r="H51" s="21" t="n"/>
      <c r="I51" s="33" t="n">
        <v>218.77</v>
      </c>
      <c r="J51" s="35">
        <f>IF($A51="","",YEAR($A51)*100+MONTH($A51))</f>
        <v/>
      </c>
      <c r="K51" s="21" t="inlineStr"/>
    </row>
    <row r="52">
      <c r="A52" s="32" t="n">
        <v>46118</v>
      </c>
      <c r="B52" s="21" t="inlineStr">
        <is>
          <t>EQ - Sole Prop Chequing</t>
        </is>
      </c>
      <c r="C52" s="21" t="inlineStr">
        <is>
          <t>Interac e-Transfer received from  Ramsay P Attisha</t>
        </is>
      </c>
      <c r="D52" s="33" t="n">
        <v>1200</v>
      </c>
      <c r="E52" s="34">
        <f>IF($B52="","",IFERROR(INDEX('ACCOUNT MAP'!$C$6:$C$44,MATCH($B52,'ACCOUNT MAP'!$A$6:$A$44,0)),"! UNMAPPED ACCOUNT"))</f>
        <v/>
      </c>
      <c r="F52" s="21" t="inlineStr">
        <is>
          <t>Client payment received</t>
        </is>
      </c>
      <c r="G52" s="34">
        <f>IF($F52="","",IFERROR(INDEX(CATEGORIES!$C$5:$C$49,MATCH($F52,CATEGORIES!$B$5:$B$49,0)),"! UNKNOWN CATEGORY"))</f>
        <v/>
      </c>
      <c r="H52" s="21" t="n"/>
      <c r="I52" s="33" t="n">
        <v>57.14</v>
      </c>
      <c r="J52" s="35">
        <f>IF($A52="","",YEAR($A52)*100+MONTH($A52))</f>
        <v/>
      </c>
      <c r="K52" s="21" t="inlineStr"/>
    </row>
    <row r="53">
      <c r="A53" s="32" t="n">
        <v>46118</v>
      </c>
      <c r="B53" s="21" t="inlineStr">
        <is>
          <t>EQ - Sole Prop Chequing</t>
        </is>
      </c>
      <c r="C53" s="21" t="inlineStr">
        <is>
          <t>Interac e-Transfer received from  CHRISTINE ADKINS</t>
        </is>
      </c>
      <c r="D53" s="33" t="n">
        <v>1212.75</v>
      </c>
      <c r="E53" s="34">
        <f>IF($B53="","",IFERROR(INDEX('ACCOUNT MAP'!$C$6:$C$44,MATCH($B53,'ACCOUNT MAP'!$A$6:$A$44,0)),"! UNMAPPED ACCOUNT"))</f>
        <v/>
      </c>
      <c r="F53" s="21" t="inlineStr">
        <is>
          <t>Client payment received</t>
        </is>
      </c>
      <c r="G53" s="34">
        <f>IF($F53="","",IFERROR(INDEX(CATEGORIES!$C$5:$C$49,MATCH($F53,CATEGORIES!$B$5:$B$49,0)),"! UNKNOWN CATEGORY"))</f>
        <v/>
      </c>
      <c r="H53" s="21" t="n"/>
      <c r="I53" s="33" t="n">
        <v>57.75</v>
      </c>
      <c r="J53" s="35">
        <f>IF($A53="","",YEAR($A53)*100+MONTH($A53))</f>
        <v/>
      </c>
      <c r="K53" s="21" t="inlineStr"/>
    </row>
    <row r="54">
      <c r="A54" s="32" t="n">
        <v>46118</v>
      </c>
      <c r="B54" s="21" t="inlineStr">
        <is>
          <t>EQ - Sole Prop Chequing</t>
        </is>
      </c>
      <c r="C54" s="21" t="inlineStr">
        <is>
          <t>Auto-withdrawal by AMEX BILL PYMT</t>
        </is>
      </c>
      <c r="D54" s="33" t="n">
        <v>-2037.93</v>
      </c>
      <c r="E54" s="34">
        <f>IF($B54="","",IFERROR(INDEX('ACCOUNT MAP'!$C$6:$C$44,MATCH($B54,'ACCOUNT MAP'!$A$6:$A$44,0)),"! UNMAPPED ACCOUNT"))</f>
        <v/>
      </c>
      <c r="F54" s="21" t="inlineStr">
        <is>
          <t>! UNCLEAR - NEEDS REVIEW</t>
        </is>
      </c>
      <c r="G54" s="34">
        <f>IF($F54="","",IFERROR(INDEX(CATEGORIES!$C$5:$C$49,MATCH($F54,CATEGORIES!$B$5:$B$49,0)),"! UNKNOWN CATEGORY"))</f>
        <v/>
      </c>
      <c r="H54" s="21" t="n"/>
      <c r="I54" s="33" t="n"/>
      <c r="J54" s="35">
        <f>IF($A54="","",YEAR($A54)*100+MONTH($A54))</f>
        <v/>
      </c>
      <c r="K54" s="21" t="inlineStr">
        <is>
          <t>Credit card payment — AMEX BILL PYMT</t>
        </is>
      </c>
    </row>
    <row r="55">
      <c r="A55" s="32" t="n">
        <v>46118</v>
      </c>
      <c r="B55" s="21" t="inlineStr">
        <is>
          <t>EQ - Sole Prop Chequing</t>
        </is>
      </c>
      <c r="C55" s="21" t="inlineStr">
        <is>
          <t>Interac e-Transfer received from CHRISTINE ADRIENNE SCHWARTZ</t>
        </is>
      </c>
      <c r="D55" s="33" t="n">
        <v>183.75</v>
      </c>
      <c r="E55" s="34">
        <f>IF($B55="","",IFERROR(INDEX('ACCOUNT MAP'!$C$6:$C$44,MATCH($B55,'ACCOUNT MAP'!$A$6:$A$44,0)),"! UNMAPPED ACCOUNT"))</f>
        <v/>
      </c>
      <c r="F55" s="21" t="inlineStr">
        <is>
          <t>Client payment received</t>
        </is>
      </c>
      <c r="G55" s="34">
        <f>IF($F55="","",IFERROR(INDEX(CATEGORIES!$C$5:$C$49,MATCH($F55,CATEGORIES!$B$5:$B$49,0)),"! UNKNOWN CATEGORY"))</f>
        <v/>
      </c>
      <c r="H55" s="21" t="n"/>
      <c r="I55" s="33" t="n">
        <v>8.75</v>
      </c>
      <c r="J55" s="35">
        <f>IF($A55="","",YEAR($A55)*100+MONTH($A55))</f>
        <v/>
      </c>
      <c r="K55" s="21" t="inlineStr"/>
    </row>
    <row r="56">
      <c r="A56" s="32" t="n">
        <v>46122</v>
      </c>
      <c r="B56" s="21" t="inlineStr">
        <is>
          <t>EQ - Sole Prop Chequing</t>
        </is>
      </c>
      <c r="C56" s="21" t="inlineStr">
        <is>
          <t>Interac e-Transfer received from  Filomena Giulione</t>
        </is>
      </c>
      <c r="D56" s="33" t="n">
        <v>425.25</v>
      </c>
      <c r="E56" s="34">
        <f>IF($B56="","",IFERROR(INDEX('ACCOUNT MAP'!$C$6:$C$44,MATCH($B56,'ACCOUNT MAP'!$A$6:$A$44,0)),"! UNMAPPED ACCOUNT"))</f>
        <v/>
      </c>
      <c r="F56" s="21" t="inlineStr">
        <is>
          <t>Client payment received</t>
        </is>
      </c>
      <c r="G56" s="34">
        <f>IF($F56="","",IFERROR(INDEX(CATEGORIES!$C$5:$C$49,MATCH($F56,CATEGORIES!$B$5:$B$49,0)),"! UNKNOWN CATEGORY"))</f>
        <v/>
      </c>
      <c r="H56" s="21" t="n"/>
      <c r="I56" s="33" t="n">
        <v>20.25</v>
      </c>
      <c r="J56" s="35">
        <f>IF($A56="","",YEAR($A56)*100+MONTH($A56))</f>
        <v/>
      </c>
      <c r="K56" s="21" t="inlineStr"/>
    </row>
    <row r="57">
      <c r="A57" s="32" t="n">
        <v>46123</v>
      </c>
      <c r="B57" s="21" t="inlineStr">
        <is>
          <t>EQ - Sole Prop Chequing</t>
        </is>
      </c>
      <c r="C57" s="21" t="inlineStr">
        <is>
          <t>Interac e-Transfer sent to Kevin</t>
        </is>
      </c>
      <c r="D57" s="33" t="n">
        <v>-625</v>
      </c>
      <c r="E57" s="34">
        <f>IF($B57="","",IFERROR(INDEX('ACCOUNT MAP'!$C$6:$C$44,MATCH($B57,'ACCOUNT MAP'!$A$6:$A$44,0)),"! UNMAPPED ACCOUNT"))</f>
        <v/>
      </c>
      <c r="F57" s="21" t="inlineStr">
        <is>
          <t>! UNCLEAR - NEEDS REVIEW</t>
        </is>
      </c>
      <c r="G57" s="34">
        <f>IF($F57="","",IFERROR(INDEX(CATEGORIES!$C$5:$C$49,MATCH($F57,CATEGORIES!$B$5:$B$49,0)),"! UNKNOWN CATEGORY"))</f>
        <v/>
      </c>
      <c r="H57" s="21" t="n"/>
      <c r="I57" s="33" t="n"/>
      <c r="J57" s="35">
        <f>IF($A57="","",YEAR($A57)*100+MONTH($A57))</f>
        <v/>
      </c>
      <c r="K57" s="21" t="inlineStr">
        <is>
          <t>? Crew or sub — Kevin</t>
        </is>
      </c>
    </row>
    <row r="58">
      <c r="A58" s="32" t="n">
        <v>46123</v>
      </c>
      <c r="B58" s="21" t="inlineStr">
        <is>
          <t>EQ - Sole Prop Chequing</t>
        </is>
      </c>
      <c r="C58" s="21" t="inlineStr">
        <is>
          <t>Interac e-Transfer sent to Kierran Kivinen</t>
        </is>
      </c>
      <c r="D58" s="33" t="n">
        <v>-208.16</v>
      </c>
      <c r="E58" s="34">
        <f>IF($B58="","",IFERROR(INDEX('ACCOUNT MAP'!$C$6:$C$44,MATCH($B58,'ACCOUNT MAP'!$A$6:$A$44,0)),"! UNMAPPED ACCOUNT"))</f>
        <v/>
      </c>
      <c r="F58" s="21" t="inlineStr">
        <is>
          <t>Crew wages (net pay out)</t>
        </is>
      </c>
      <c r="G58" s="34">
        <f>IF($F58="","",IFERROR(INDEX(CATEGORIES!$C$5:$C$49,MATCH($F58,CATEGORIES!$B$5:$B$49,0)),"! UNKNOWN CATEGORY"))</f>
        <v/>
      </c>
      <c r="H58" s="21" t="n"/>
      <c r="I58" s="33" t="n"/>
      <c r="J58" s="35">
        <f>IF($A58="","",YEAR($A58)*100+MONTH($A58))</f>
        <v/>
      </c>
      <c r="K58" s="21" t="inlineStr"/>
    </row>
    <row r="59">
      <c r="A59" s="32" t="n">
        <v>46124</v>
      </c>
      <c r="B59" s="21" t="inlineStr">
        <is>
          <t>EQ - Sole Prop Chequing</t>
        </is>
      </c>
      <c r="C59" s="21" t="inlineStr">
        <is>
          <t>Interac e-Transfer received from  YUHUAN BAI</t>
        </is>
      </c>
      <c r="D59" s="33" t="n">
        <v>567</v>
      </c>
      <c r="E59" s="34">
        <f>IF($B59="","",IFERROR(INDEX('ACCOUNT MAP'!$C$6:$C$44,MATCH($B59,'ACCOUNT MAP'!$A$6:$A$44,0)),"! UNMAPPED ACCOUNT"))</f>
        <v/>
      </c>
      <c r="F59" s="21" t="inlineStr">
        <is>
          <t>Client payment received</t>
        </is>
      </c>
      <c r="G59" s="34">
        <f>IF($F59="","",IFERROR(INDEX(CATEGORIES!$C$5:$C$49,MATCH($F59,CATEGORIES!$B$5:$B$49,0)),"! UNKNOWN CATEGORY"))</f>
        <v/>
      </c>
      <c r="H59" s="21" t="n"/>
      <c r="I59" s="33" t="n">
        <v>27</v>
      </c>
      <c r="J59" s="35">
        <f>IF($A59="","",YEAR($A59)*100+MONTH($A59))</f>
        <v/>
      </c>
      <c r="K59" s="21" t="inlineStr"/>
    </row>
    <row r="60">
      <c r="A60" s="32" t="n">
        <v>46124</v>
      </c>
      <c r="B60" s="21" t="inlineStr">
        <is>
          <t>EQ - Sole Prop Chequing</t>
        </is>
      </c>
      <c r="C60" s="21" t="inlineStr">
        <is>
          <t>Interac e-Transfer received from  CHRISTINE ADKINS</t>
        </is>
      </c>
      <c r="D60" s="33" t="n">
        <v>1400</v>
      </c>
      <c r="E60" s="34">
        <f>IF($B60="","",IFERROR(INDEX('ACCOUNT MAP'!$C$6:$C$44,MATCH($B60,'ACCOUNT MAP'!$A$6:$A$44,0)),"! UNMAPPED ACCOUNT"))</f>
        <v/>
      </c>
      <c r="F60" s="21" t="inlineStr">
        <is>
          <t>Client payment received</t>
        </is>
      </c>
      <c r="G60" s="34">
        <f>IF($F60="","",IFERROR(INDEX(CATEGORIES!$C$5:$C$49,MATCH($F60,CATEGORIES!$B$5:$B$49,0)),"! UNKNOWN CATEGORY"))</f>
        <v/>
      </c>
      <c r="H60" s="21" t="n"/>
      <c r="I60" s="33" t="n">
        <v>66.67</v>
      </c>
      <c r="J60" s="35">
        <f>IF($A60="","",YEAR($A60)*100+MONTH($A60))</f>
        <v/>
      </c>
      <c r="K60" s="21" t="inlineStr"/>
    </row>
    <row r="61">
      <c r="A61" s="32" t="n">
        <v>46125</v>
      </c>
      <c r="B61" s="21" t="inlineStr">
        <is>
          <t>EQ - Sole Prop Chequing</t>
        </is>
      </c>
      <c r="C61" s="21" t="inlineStr">
        <is>
          <t>Interac e-Transfer received from  CHRISTINE ADKINS</t>
        </is>
      </c>
      <c r="D61" s="33" t="n">
        <v>863.52</v>
      </c>
      <c r="E61" s="34">
        <f>IF($B61="","",IFERROR(INDEX('ACCOUNT MAP'!$C$6:$C$44,MATCH($B61,'ACCOUNT MAP'!$A$6:$A$44,0)),"! UNMAPPED ACCOUNT"))</f>
        <v/>
      </c>
      <c r="F61" s="21" t="inlineStr">
        <is>
          <t>Client payment received</t>
        </is>
      </c>
      <c r="G61" s="34">
        <f>IF($F61="","",IFERROR(INDEX(CATEGORIES!$C$5:$C$49,MATCH($F61,CATEGORIES!$B$5:$B$49,0)),"! UNKNOWN CATEGORY"))</f>
        <v/>
      </c>
      <c r="H61" s="21" t="n"/>
      <c r="I61" s="33" t="n">
        <v>41.12</v>
      </c>
      <c r="J61" s="35">
        <f>IF($A61="","",YEAR($A61)*100+MONTH($A61))</f>
        <v/>
      </c>
      <c r="K61" s="21" t="inlineStr"/>
    </row>
    <row r="62">
      <c r="A62" s="32" t="n">
        <v>46125</v>
      </c>
      <c r="B62" s="21" t="inlineStr">
        <is>
          <t>EQ - Sole Prop Chequing</t>
        </is>
      </c>
      <c r="C62" s="21" t="inlineStr">
        <is>
          <t>Interac e-Transfer sent to Kierran Kivinen</t>
        </is>
      </c>
      <c r="D62" s="33" t="n">
        <v>-1605.8</v>
      </c>
      <c r="E62" s="34">
        <f>IF($B62="","",IFERROR(INDEX('ACCOUNT MAP'!$C$6:$C$44,MATCH($B62,'ACCOUNT MAP'!$A$6:$A$44,0)),"! UNMAPPED ACCOUNT"))</f>
        <v/>
      </c>
      <c r="F62" s="21" t="inlineStr">
        <is>
          <t>Crew wages (net pay out)</t>
        </is>
      </c>
      <c r="G62" s="34">
        <f>IF($F62="","",IFERROR(INDEX(CATEGORIES!$C$5:$C$49,MATCH($F62,CATEGORIES!$B$5:$B$49,0)),"! UNKNOWN CATEGORY"))</f>
        <v/>
      </c>
      <c r="H62" s="21" t="n"/>
      <c r="I62" s="33" t="n"/>
      <c r="J62" s="35">
        <f>IF($A62="","",YEAR($A62)*100+MONTH($A62))</f>
        <v/>
      </c>
      <c r="K62" s="21" t="inlineStr"/>
    </row>
    <row r="63">
      <c r="A63" s="32" t="n">
        <v>46125</v>
      </c>
      <c r="B63" s="21" t="inlineStr">
        <is>
          <t>EQ - Sole Prop Chequing</t>
        </is>
      </c>
      <c r="C63" s="21" t="inlineStr">
        <is>
          <t>Interac e-Transfer sent to Booker, Daniel</t>
        </is>
      </c>
      <c r="D63" s="33" t="n">
        <v>-744.85</v>
      </c>
      <c r="E63" s="34">
        <f>IF($B63="","",IFERROR(INDEX('ACCOUNT MAP'!$C$6:$C$44,MATCH($B63,'ACCOUNT MAP'!$A$6:$A$44,0)),"! UNMAPPED ACCOUNT"))</f>
        <v/>
      </c>
      <c r="F63" s="21" t="inlineStr">
        <is>
          <t>! UNCLEAR - NEEDS REVIEW</t>
        </is>
      </c>
      <c r="G63" s="34">
        <f>IF($F63="","",IFERROR(INDEX(CATEGORIES!$C$5:$C$49,MATCH($F63,CATEGORIES!$B$5:$B$49,0)),"! UNKNOWN CATEGORY"))</f>
        <v/>
      </c>
      <c r="H63" s="21" t="n"/>
      <c r="I63" s="33" t="n"/>
      <c r="J63" s="35">
        <f>IF($A63="","",YEAR($A63)*100+MONTH($A63))</f>
        <v/>
      </c>
      <c r="K63" s="21" t="inlineStr">
        <is>
          <t>? Booker, Daniel — UNIDENTIFIED</t>
        </is>
      </c>
    </row>
    <row r="64">
      <c r="A64" s="32" t="n">
        <v>46128</v>
      </c>
      <c r="B64" s="21" t="inlineStr">
        <is>
          <t>EQ - Sole Prop Chequing</t>
        </is>
      </c>
      <c r="C64" s="21" t="inlineStr">
        <is>
          <t>Interac e-Transfer sent to Booker, Daniel</t>
        </is>
      </c>
      <c r="D64" s="33" t="n">
        <v>-100</v>
      </c>
      <c r="E64" s="34">
        <f>IF($B64="","",IFERROR(INDEX('ACCOUNT MAP'!$C$6:$C$44,MATCH($B64,'ACCOUNT MAP'!$A$6:$A$44,0)),"! UNMAPPED ACCOUNT"))</f>
        <v/>
      </c>
      <c r="F64" s="21" t="inlineStr">
        <is>
          <t>! UNCLEAR - NEEDS REVIEW</t>
        </is>
      </c>
      <c r="G64" s="34">
        <f>IF($F64="","",IFERROR(INDEX(CATEGORIES!$C$5:$C$49,MATCH($F64,CATEGORIES!$B$5:$B$49,0)),"! UNKNOWN CATEGORY"))</f>
        <v/>
      </c>
      <c r="H64" s="21" t="n"/>
      <c r="I64" s="33" t="n"/>
      <c r="J64" s="35">
        <f>IF($A64="","",YEAR($A64)*100+MONTH($A64))</f>
        <v/>
      </c>
      <c r="K64" s="21" t="inlineStr">
        <is>
          <t>? Booker, Daniel — UNIDENTIFIED</t>
        </is>
      </c>
    </row>
    <row r="65">
      <c r="A65" s="32" t="n">
        <v>46129</v>
      </c>
      <c r="B65" s="21" t="inlineStr">
        <is>
          <t>EQ - Sole Prop Chequing</t>
        </is>
      </c>
      <c r="C65" s="21" t="inlineStr">
        <is>
          <t>Interac e-Transfer received from  WILLIAM SANDERSON</t>
        </is>
      </c>
      <c r="D65" s="33" t="n">
        <v>446.25</v>
      </c>
      <c r="E65" s="34">
        <f>IF($B65="","",IFERROR(INDEX('ACCOUNT MAP'!$C$6:$C$44,MATCH($B65,'ACCOUNT MAP'!$A$6:$A$44,0)),"! UNMAPPED ACCOUNT"))</f>
        <v/>
      </c>
      <c r="F65" s="21" t="inlineStr">
        <is>
          <t>Client payment received</t>
        </is>
      </c>
      <c r="G65" s="34">
        <f>IF($F65="","",IFERROR(INDEX(CATEGORIES!$C$5:$C$49,MATCH($F65,CATEGORIES!$B$5:$B$49,0)),"! UNKNOWN CATEGORY"))</f>
        <v/>
      </c>
      <c r="H65" s="21" t="n"/>
      <c r="I65" s="33" t="n">
        <v>21.25</v>
      </c>
      <c r="J65" s="35">
        <f>IF($A65="","",YEAR($A65)*100+MONTH($A65))</f>
        <v/>
      </c>
      <c r="K65" s="21" t="inlineStr"/>
    </row>
    <row r="66">
      <c r="A66" s="32" t="n">
        <v>46129</v>
      </c>
      <c r="B66" s="21" t="inlineStr">
        <is>
          <t>EQ - Sole Prop Chequing</t>
        </is>
      </c>
      <c r="C66" s="21" t="inlineStr">
        <is>
          <t>Interac e-Transfer received from  DAVID C NEWSOME</t>
        </is>
      </c>
      <c r="D66" s="33" t="n">
        <v>763.88</v>
      </c>
      <c r="E66" s="34">
        <f>IF($B66="","",IFERROR(INDEX('ACCOUNT MAP'!$C$6:$C$44,MATCH($B66,'ACCOUNT MAP'!$A$6:$A$44,0)),"! UNMAPPED ACCOUNT"))</f>
        <v/>
      </c>
      <c r="F66" s="21" t="inlineStr">
        <is>
          <t>Client payment received</t>
        </is>
      </c>
      <c r="G66" s="34">
        <f>IF($F66="","",IFERROR(INDEX(CATEGORIES!$C$5:$C$49,MATCH($F66,CATEGORIES!$B$5:$B$49,0)),"! UNKNOWN CATEGORY"))</f>
        <v/>
      </c>
      <c r="H66" s="21" t="n"/>
      <c r="I66" s="33" t="n">
        <v>36.38</v>
      </c>
      <c r="J66" s="35">
        <f>IF($A66="","",YEAR($A66)*100+MONTH($A66))</f>
        <v/>
      </c>
      <c r="K66" s="21" t="inlineStr"/>
    </row>
    <row r="67">
      <c r="A67" s="32" t="n">
        <v>46129</v>
      </c>
      <c r="B67" s="21" t="inlineStr">
        <is>
          <t>EQ - Sole Prop Chequing</t>
        </is>
      </c>
      <c r="C67" s="21" t="inlineStr">
        <is>
          <t>Auto-withdrawal by Gore Mutual</t>
        </is>
      </c>
      <c r="D67" s="33" t="n">
        <v>-93.62</v>
      </c>
      <c r="E67" s="34">
        <f>IF($B67="","",IFERROR(INDEX('ACCOUNT MAP'!$C$6:$C$44,MATCH($B67,'ACCOUNT MAP'!$A$6:$A$44,0)),"! UNMAPPED ACCOUNT"))</f>
        <v/>
      </c>
      <c r="F67" s="21" t="inlineStr">
        <is>
          <t>Liability insurance</t>
        </is>
      </c>
      <c r="G67" s="34">
        <f>IF($F67="","",IFERROR(INDEX(CATEGORIES!$C$5:$C$49,MATCH($F67,CATEGORIES!$B$5:$B$49,0)),"! UNKNOWN CATEGORY"))</f>
        <v/>
      </c>
      <c r="H67" s="21" t="n"/>
      <c r="I67" s="33" t="n"/>
      <c r="J67" s="35">
        <f>IF($A67="","",YEAR($A67)*100+MONTH($A67))</f>
        <v/>
      </c>
      <c r="K67" s="21" t="inlineStr"/>
    </row>
    <row r="68">
      <c r="A68" s="32" t="n">
        <v>46131</v>
      </c>
      <c r="B68" s="21" t="inlineStr">
        <is>
          <t>EQ - Sole Prop Chequing</t>
        </is>
      </c>
      <c r="C68" s="21" t="inlineStr">
        <is>
          <t>Interac e-Transfer received from  DAVID ROBIN GREEN</t>
        </is>
      </c>
      <c r="D68" s="33" t="n">
        <v>2638.04</v>
      </c>
      <c r="E68" s="34">
        <f>IF($B68="","",IFERROR(INDEX('ACCOUNT MAP'!$C$6:$C$44,MATCH($B68,'ACCOUNT MAP'!$A$6:$A$44,0)),"! UNMAPPED ACCOUNT"))</f>
        <v/>
      </c>
      <c r="F68" s="21" t="inlineStr">
        <is>
          <t>Client payment received</t>
        </is>
      </c>
      <c r="G68" s="34">
        <f>IF($F68="","",IFERROR(INDEX(CATEGORIES!$C$5:$C$49,MATCH($F68,CATEGORIES!$B$5:$B$49,0)),"! UNKNOWN CATEGORY"))</f>
        <v/>
      </c>
      <c r="H68" s="21" t="n"/>
      <c r="I68" s="33" t="n">
        <v>125.62</v>
      </c>
      <c r="J68" s="35">
        <f>IF($A68="","",YEAR($A68)*100+MONTH($A68))</f>
        <v/>
      </c>
      <c r="K68" s="21" t="inlineStr"/>
    </row>
    <row r="69">
      <c r="A69" s="32" t="n">
        <v>46132</v>
      </c>
      <c r="B69" s="21" t="inlineStr">
        <is>
          <t>EQ - Sole Prop Chequing</t>
        </is>
      </c>
      <c r="C69" s="21" t="inlineStr">
        <is>
          <t>Interac e-Transfer received from  Mark A</t>
        </is>
      </c>
      <c r="D69" s="33" t="n">
        <v>1690</v>
      </c>
      <c r="E69" s="34">
        <f>IF($B69="","",IFERROR(INDEX('ACCOUNT MAP'!$C$6:$C$44,MATCH($B69,'ACCOUNT MAP'!$A$6:$A$44,0)),"! UNMAPPED ACCOUNT"))</f>
        <v/>
      </c>
      <c r="F69" s="21" t="inlineStr">
        <is>
          <t>Client payment received</t>
        </is>
      </c>
      <c r="G69" s="34">
        <f>IF($F69="","",IFERROR(INDEX(CATEGORIES!$C$5:$C$49,MATCH($F69,CATEGORIES!$B$5:$B$49,0)),"! UNKNOWN CATEGORY"))</f>
        <v/>
      </c>
      <c r="H69" s="21" t="n"/>
      <c r="I69" s="33" t="n">
        <v>80.48</v>
      </c>
      <c r="J69" s="35">
        <f>IF($A69="","",YEAR($A69)*100+MONTH($A69))</f>
        <v/>
      </c>
      <c r="K69" s="21" t="inlineStr"/>
    </row>
    <row r="70">
      <c r="A70" s="32" t="n">
        <v>46133</v>
      </c>
      <c r="B70" s="21" t="inlineStr">
        <is>
          <t>EQ - Sole Prop Chequing</t>
        </is>
      </c>
      <c r="C70" s="21" t="inlineStr">
        <is>
          <t>Interac e-Transfer received from  BRUCE D REID</t>
        </is>
      </c>
      <c r="D70" s="33" t="n">
        <v>393.75</v>
      </c>
      <c r="E70" s="34">
        <f>IF($B70="","",IFERROR(INDEX('ACCOUNT MAP'!$C$6:$C$44,MATCH($B70,'ACCOUNT MAP'!$A$6:$A$44,0)),"! UNMAPPED ACCOUNT"))</f>
        <v/>
      </c>
      <c r="F70" s="21" t="inlineStr">
        <is>
          <t>Client payment received</t>
        </is>
      </c>
      <c r="G70" s="34">
        <f>IF($F70="","",IFERROR(INDEX(CATEGORIES!$C$5:$C$49,MATCH($F70,CATEGORIES!$B$5:$B$49,0)),"! UNKNOWN CATEGORY"))</f>
        <v/>
      </c>
      <c r="H70" s="21" t="n"/>
      <c r="I70" s="33" t="n">
        <v>18.75</v>
      </c>
      <c r="J70" s="35">
        <f>IF($A70="","",YEAR($A70)*100+MONTH($A70))</f>
        <v/>
      </c>
      <c r="K70" s="21" t="inlineStr"/>
    </row>
    <row r="71">
      <c r="A71" s="32" t="n">
        <v>46134</v>
      </c>
      <c r="B71" s="21" t="inlineStr">
        <is>
          <t>EQ - Sole Prop Chequing</t>
        </is>
      </c>
      <c r="C71" s="21" t="inlineStr">
        <is>
          <t>Mobile cheque deposit</t>
        </is>
      </c>
      <c r="D71" s="33" t="n">
        <v>14962.5</v>
      </c>
      <c r="E71" s="34">
        <f>IF($B71="","",IFERROR(INDEX('ACCOUNT MAP'!$C$6:$C$44,MATCH($B71,'ACCOUNT MAP'!$A$6:$A$44,0)),"! UNMAPPED ACCOUNT"))</f>
        <v/>
      </c>
      <c r="F71" s="21" t="inlineStr">
        <is>
          <t>Client payment received</t>
        </is>
      </c>
      <c r="G71" s="34">
        <f>IF($F71="","",IFERROR(INDEX(CATEGORIES!$C$5:$C$49,MATCH($F71,CATEGORIES!$B$5:$B$49,0)),"! UNKNOWN CATEGORY"))</f>
        <v/>
      </c>
      <c r="H71" s="21" t="n"/>
      <c r="I71" s="33" t="n">
        <v>712.5</v>
      </c>
      <c r="J71" s="35">
        <f>IF($A71="","",YEAR($A71)*100+MONTH($A71))</f>
        <v/>
      </c>
      <c r="K71" s="21" t="inlineStr"/>
    </row>
    <row r="72">
      <c r="A72" s="32" t="n">
        <v>46134</v>
      </c>
      <c r="B72" s="21" t="inlineStr">
        <is>
          <t>EQ - Sole Prop Chequing</t>
        </is>
      </c>
      <c r="C72" s="21" t="inlineStr">
        <is>
          <t>Mobile cheque deposit</t>
        </is>
      </c>
      <c r="D72" s="33" t="n">
        <v>8887.98</v>
      </c>
      <c r="E72" s="34">
        <f>IF($B72="","",IFERROR(INDEX('ACCOUNT MAP'!$C$6:$C$44,MATCH($B72,'ACCOUNT MAP'!$A$6:$A$44,0)),"! UNMAPPED ACCOUNT"))</f>
        <v/>
      </c>
      <c r="F72" s="21" t="inlineStr">
        <is>
          <t>Client payment received</t>
        </is>
      </c>
      <c r="G72" s="34">
        <f>IF($F72="","",IFERROR(INDEX(CATEGORIES!$C$5:$C$49,MATCH($F72,CATEGORIES!$B$5:$B$49,0)),"! UNKNOWN CATEGORY"))</f>
        <v/>
      </c>
      <c r="H72" s="21" t="n"/>
      <c r="I72" s="33" t="n">
        <v>423.24</v>
      </c>
      <c r="J72" s="35">
        <f>IF($A72="","",YEAR($A72)*100+MONTH($A72))</f>
        <v/>
      </c>
      <c r="K72" s="21" t="inlineStr"/>
    </row>
    <row r="73">
      <c r="A73" s="32" t="n">
        <v>46137</v>
      </c>
      <c r="B73" s="21" t="inlineStr">
        <is>
          <t>EQ - Sole Prop Chequing</t>
        </is>
      </c>
      <c r="C73" s="21" t="inlineStr">
        <is>
          <t>Interac e-Transfer received from  Robert Niven</t>
        </is>
      </c>
      <c r="D73" s="33" t="n">
        <v>2500</v>
      </c>
      <c r="E73" s="34">
        <f>IF($B73="","",IFERROR(INDEX('ACCOUNT MAP'!$C$6:$C$44,MATCH($B73,'ACCOUNT MAP'!$A$6:$A$44,0)),"! UNMAPPED ACCOUNT"))</f>
        <v/>
      </c>
      <c r="F73" s="21" t="inlineStr">
        <is>
          <t>Client payment received</t>
        </is>
      </c>
      <c r="G73" s="34">
        <f>IF($F73="","",IFERROR(INDEX(CATEGORIES!$C$5:$C$49,MATCH($F73,CATEGORIES!$B$5:$B$49,0)),"! UNKNOWN CATEGORY"))</f>
        <v/>
      </c>
      <c r="H73" s="21" t="n"/>
      <c r="I73" s="33" t="n">
        <v>119.05</v>
      </c>
      <c r="J73" s="35">
        <f>IF($A73="","",YEAR($A73)*100+MONTH($A73))</f>
        <v/>
      </c>
      <c r="K73" s="21" t="inlineStr"/>
    </row>
    <row r="74">
      <c r="A74" s="32" t="n">
        <v>46138</v>
      </c>
      <c r="B74" s="21" t="inlineStr">
        <is>
          <t>EQ - Sole Prop Chequing</t>
        </is>
      </c>
      <c r="C74" s="21" t="inlineStr">
        <is>
          <t>Interac e-Transfer received from  Robert Niven</t>
        </is>
      </c>
      <c r="D74" s="33" t="n">
        <v>2500</v>
      </c>
      <c r="E74" s="34">
        <f>IF($B74="","",IFERROR(INDEX('ACCOUNT MAP'!$C$6:$C$44,MATCH($B74,'ACCOUNT MAP'!$A$6:$A$44,0)),"! UNMAPPED ACCOUNT"))</f>
        <v/>
      </c>
      <c r="F74" s="21" t="inlineStr">
        <is>
          <t>Client payment received</t>
        </is>
      </c>
      <c r="G74" s="34">
        <f>IF($F74="","",IFERROR(INDEX(CATEGORIES!$C$5:$C$49,MATCH($F74,CATEGORIES!$B$5:$B$49,0)),"! UNKNOWN CATEGORY"))</f>
        <v/>
      </c>
      <c r="H74" s="21" t="n"/>
      <c r="I74" s="33" t="n">
        <v>119.05</v>
      </c>
      <c r="J74" s="35">
        <f>IF($A74="","",YEAR($A74)*100+MONTH($A74))</f>
        <v/>
      </c>
      <c r="K74" s="21" t="inlineStr"/>
    </row>
    <row r="75">
      <c r="A75" s="32" t="n">
        <v>46139</v>
      </c>
      <c r="B75" s="21" t="inlineStr">
        <is>
          <t>EQ - Sole Prop Chequing</t>
        </is>
      </c>
      <c r="C75" s="21" t="inlineStr">
        <is>
          <t>Interac e-Transfer received from  Robert Niven</t>
        </is>
      </c>
      <c r="D75" s="33" t="n">
        <v>2146.9</v>
      </c>
      <c r="E75" s="34">
        <f>IF($B75="","",IFERROR(INDEX('ACCOUNT MAP'!$C$6:$C$44,MATCH($B75,'ACCOUNT MAP'!$A$6:$A$44,0)),"! UNMAPPED ACCOUNT"))</f>
        <v/>
      </c>
      <c r="F75" s="21" t="inlineStr">
        <is>
          <t>Client payment received</t>
        </is>
      </c>
      <c r="G75" s="34">
        <f>IF($F75="","",IFERROR(INDEX(CATEGORIES!$C$5:$C$49,MATCH($F75,CATEGORIES!$B$5:$B$49,0)),"! UNKNOWN CATEGORY"))</f>
        <v/>
      </c>
      <c r="H75" s="21" t="n"/>
      <c r="I75" s="33" t="n">
        <v>102.23</v>
      </c>
      <c r="J75" s="35">
        <f>IF($A75="","",YEAR($A75)*100+MONTH($A75))</f>
        <v/>
      </c>
      <c r="K75" s="21" t="inlineStr"/>
    </row>
    <row r="76">
      <c r="A76" s="32" t="n">
        <v>46139</v>
      </c>
      <c r="B76" s="21" t="inlineStr">
        <is>
          <t>EQ - Sole Prop Chequing</t>
        </is>
      </c>
      <c r="C76" s="21" t="inlineStr">
        <is>
          <t>Interac e-Transfer received from  Ramsay P Attisha</t>
        </is>
      </c>
      <c r="D76" s="33" t="n">
        <v>1200</v>
      </c>
      <c r="E76" s="34">
        <f>IF($B76="","",IFERROR(INDEX('ACCOUNT MAP'!$C$6:$C$44,MATCH($B76,'ACCOUNT MAP'!$A$6:$A$44,0)),"! UNMAPPED ACCOUNT"))</f>
        <v/>
      </c>
      <c r="F76" s="21" t="inlineStr">
        <is>
          <t>Client payment received</t>
        </is>
      </c>
      <c r="G76" s="34">
        <f>IF($F76="","",IFERROR(INDEX(CATEGORIES!$C$5:$C$49,MATCH($F76,CATEGORIES!$B$5:$B$49,0)),"! UNKNOWN CATEGORY"))</f>
        <v/>
      </c>
      <c r="H76" s="21" t="n"/>
      <c r="I76" s="33" t="n">
        <v>57.14</v>
      </c>
      <c r="J76" s="35">
        <f>IF($A76="","",YEAR($A76)*100+MONTH($A76))</f>
        <v/>
      </c>
      <c r="K76" s="21" t="inlineStr"/>
    </row>
    <row r="77">
      <c r="A77" s="32" t="n">
        <v>46139</v>
      </c>
      <c r="B77" s="21" t="inlineStr">
        <is>
          <t>EQ - Sole Prop Chequing</t>
        </is>
      </c>
      <c r="C77" s="21" t="inlineStr">
        <is>
          <t>Interac e-Transfer sent to Kierran Kivinen</t>
        </is>
      </c>
      <c r="D77" s="33" t="n">
        <v>-1706.48</v>
      </c>
      <c r="E77" s="34">
        <f>IF($B77="","",IFERROR(INDEX('ACCOUNT MAP'!$C$6:$C$44,MATCH($B77,'ACCOUNT MAP'!$A$6:$A$44,0)),"! UNMAPPED ACCOUNT"))</f>
        <v/>
      </c>
      <c r="F77" s="21" t="inlineStr">
        <is>
          <t>Crew wages (net pay out)</t>
        </is>
      </c>
      <c r="G77" s="34">
        <f>IF($F77="","",IFERROR(INDEX(CATEGORIES!$C$5:$C$49,MATCH($F77,CATEGORIES!$B$5:$B$49,0)),"! UNKNOWN CATEGORY"))</f>
        <v/>
      </c>
      <c r="H77" s="21" t="n"/>
      <c r="I77" s="33" t="n"/>
      <c r="J77" s="35">
        <f>IF($A77="","",YEAR($A77)*100+MONTH($A77))</f>
        <v/>
      </c>
      <c r="K77" s="21" t="inlineStr"/>
    </row>
    <row r="78">
      <c r="A78" s="32" t="n">
        <v>46139</v>
      </c>
      <c r="B78" s="21" t="inlineStr">
        <is>
          <t>EQ - Sole Prop Chequing</t>
        </is>
      </c>
      <c r="C78" s="21" t="inlineStr">
        <is>
          <t>Interac e-Transfer sent to Booker, Daniel</t>
        </is>
      </c>
      <c r="D78" s="33" t="n">
        <v>-1082.6</v>
      </c>
      <c r="E78" s="34">
        <f>IF($B78="","",IFERROR(INDEX('ACCOUNT MAP'!$C$6:$C$44,MATCH($B78,'ACCOUNT MAP'!$A$6:$A$44,0)),"! UNMAPPED ACCOUNT"))</f>
        <v/>
      </c>
      <c r="F78" s="21" t="inlineStr">
        <is>
          <t>! UNCLEAR - NEEDS REVIEW</t>
        </is>
      </c>
      <c r="G78" s="34">
        <f>IF($F78="","",IFERROR(INDEX(CATEGORIES!$C$5:$C$49,MATCH($F78,CATEGORIES!$B$5:$B$49,0)),"! UNKNOWN CATEGORY"))</f>
        <v/>
      </c>
      <c r="H78" s="21" t="n"/>
      <c r="I78" s="33" t="n"/>
      <c r="J78" s="35">
        <f>IF($A78="","",YEAR($A78)*100+MONTH($A78))</f>
        <v/>
      </c>
      <c r="K78" s="21" t="inlineStr">
        <is>
          <t>? Booker, Daniel — UNIDENTIFIED</t>
        </is>
      </c>
    </row>
    <row r="79">
      <c r="A79" s="32" t="n">
        <v>46139</v>
      </c>
      <c r="B79" s="21" t="inlineStr">
        <is>
          <t>EQ - Sole Prop Chequing</t>
        </is>
      </c>
      <c r="C79" s="21" t="inlineStr">
        <is>
          <t>Interac e-Transfer sent to Booker, Daniel</t>
        </is>
      </c>
      <c r="D79" s="33" t="n">
        <v>-100</v>
      </c>
      <c r="E79" s="34">
        <f>IF($B79="","",IFERROR(INDEX('ACCOUNT MAP'!$C$6:$C$44,MATCH($B79,'ACCOUNT MAP'!$A$6:$A$44,0)),"! UNMAPPED ACCOUNT"))</f>
        <v/>
      </c>
      <c r="F79" s="21" t="inlineStr">
        <is>
          <t>! UNCLEAR - NEEDS REVIEW</t>
        </is>
      </c>
      <c r="G79" s="34">
        <f>IF($F79="","",IFERROR(INDEX(CATEGORIES!$C$5:$C$49,MATCH($F79,CATEGORIES!$B$5:$B$49,0)),"! UNKNOWN CATEGORY"))</f>
        <v/>
      </c>
      <c r="H79" s="21" t="n"/>
      <c r="I79" s="33" t="n"/>
      <c r="J79" s="35">
        <f>IF($A79="","",YEAR($A79)*100+MONTH($A79))</f>
        <v/>
      </c>
      <c r="K79" s="21" t="inlineStr">
        <is>
          <t>? Booker, Daniel — UNIDENTIFIED</t>
        </is>
      </c>
    </row>
    <row r="80">
      <c r="A80" s="32" t="n">
        <v>46140</v>
      </c>
      <c r="B80" s="21" t="inlineStr">
        <is>
          <t>EQ - Sole Prop Chequing</t>
        </is>
      </c>
      <c r="C80" s="21" t="inlineStr">
        <is>
          <t>Interac e-Transfer sent to PND</t>
        </is>
      </c>
      <c r="D80" s="33" t="n">
        <v>-711.2</v>
      </c>
      <c r="E80" s="34">
        <f>IF($B80="","",IFERROR(INDEX('ACCOUNT MAP'!$C$6:$C$44,MATCH($B80,'ACCOUNT MAP'!$A$6:$A$44,0)),"! UNMAPPED ACCOUNT"))</f>
        <v/>
      </c>
      <c r="F80" s="21" t="inlineStr">
        <is>
          <t>Materials and plants</t>
        </is>
      </c>
      <c r="G80" s="34">
        <f>IF($F80="","",IFERROR(INDEX(CATEGORIES!$C$5:$C$49,MATCH($F80,CATEGORIES!$B$5:$B$49,0)),"! UNKNOWN CATEGORY"))</f>
        <v/>
      </c>
      <c r="H80" s="21" t="n"/>
      <c r="I80" s="33" t="n"/>
      <c r="J80" s="35">
        <f>IF($A80="","",YEAR($A80)*100+MONTH($A80))</f>
        <v/>
      </c>
      <c r="K80" s="21" t="inlineStr"/>
    </row>
    <row r="81">
      <c r="A81" s="32" t="n">
        <v>46140</v>
      </c>
      <c r="B81" s="21" t="inlineStr">
        <is>
          <t>EQ - Sole Prop Chequing</t>
        </is>
      </c>
      <c r="C81" s="21" t="inlineStr">
        <is>
          <t>Interac e-Transfer sent to Canadian Tire Bank</t>
        </is>
      </c>
      <c r="D81" s="33" t="n">
        <v>-545.37</v>
      </c>
      <c r="E81" s="34">
        <f>IF($B81="","",IFERROR(INDEX('ACCOUNT MAP'!$C$6:$C$44,MATCH($B81,'ACCOUNT MAP'!$A$6:$A$44,0)),"! UNMAPPED ACCOUNT"))</f>
        <v/>
      </c>
      <c r="F81" s="21" t="inlineStr">
        <is>
          <t>! UNCLEAR - NEEDS REVIEW</t>
        </is>
      </c>
      <c r="G81" s="34">
        <f>IF($F81="","",IFERROR(INDEX(CATEGORIES!$C$5:$C$49,MATCH($F81,CATEGORIES!$B$5:$B$49,0)),"! UNKNOWN CATEGORY"))</f>
        <v/>
      </c>
      <c r="H81" s="21" t="n"/>
      <c r="I81" s="33" t="n"/>
      <c r="J81" s="35">
        <f>IF($A81="","",YEAR($A81)*100+MONTH($A81))</f>
        <v/>
      </c>
      <c r="K81" s="21" t="inlineStr">
        <is>
          <t>Credit card payment — Canadian Tire Bank</t>
        </is>
      </c>
    </row>
    <row r="82">
      <c r="A82" s="32" t="n">
        <v>46140</v>
      </c>
      <c r="B82" s="21" t="inlineStr">
        <is>
          <t>EQ - Sole Prop Chequing</t>
        </is>
      </c>
      <c r="C82" s="21" t="inlineStr">
        <is>
          <t>Interac e-Transfer received from  PACIFIC CITY DEVELOPMENTS INC.</t>
        </is>
      </c>
      <c r="D82" s="33" t="n">
        <v>4201</v>
      </c>
      <c r="E82" s="34">
        <f>IF($B82="","",IFERROR(INDEX('ACCOUNT MAP'!$C$6:$C$44,MATCH($B82,'ACCOUNT MAP'!$A$6:$A$44,0)),"! UNMAPPED ACCOUNT"))</f>
        <v/>
      </c>
      <c r="F82" s="21" t="inlineStr">
        <is>
          <t>Client payment received</t>
        </is>
      </c>
      <c r="G82" s="34">
        <f>IF($F82="","",IFERROR(INDEX(CATEGORIES!$C$5:$C$49,MATCH($F82,CATEGORIES!$B$5:$B$49,0)),"! UNKNOWN CATEGORY"))</f>
        <v/>
      </c>
      <c r="H82" s="21" t="n"/>
      <c r="I82" s="33" t="n">
        <v>200.05</v>
      </c>
      <c r="J82" s="35">
        <f>IF($A82="","",YEAR($A82)*100+MONTH($A82))</f>
        <v/>
      </c>
      <c r="K82" s="21" t="inlineStr"/>
    </row>
    <row r="83">
      <c r="A83" s="32" t="n">
        <v>46142</v>
      </c>
      <c r="B83" s="21" t="inlineStr">
        <is>
          <t>EQ - Sole Prop Chequing</t>
        </is>
      </c>
      <c r="C83" s="21" t="inlineStr">
        <is>
          <t>Interac e-Transfer sent to Booker, Daniel</t>
        </is>
      </c>
      <c r="D83" s="33" t="n">
        <v>-94.38</v>
      </c>
      <c r="E83" s="34">
        <f>IF($B83="","",IFERROR(INDEX('ACCOUNT MAP'!$C$6:$C$44,MATCH($B83,'ACCOUNT MAP'!$A$6:$A$44,0)),"! UNMAPPED ACCOUNT"))</f>
        <v/>
      </c>
      <c r="F83" s="21" t="inlineStr">
        <is>
          <t>! UNCLEAR - NEEDS REVIEW</t>
        </is>
      </c>
      <c r="G83" s="34">
        <f>IF($F83="","",IFERROR(INDEX(CATEGORIES!$C$5:$C$49,MATCH($F83,CATEGORIES!$B$5:$B$49,0)),"! UNKNOWN CATEGORY"))</f>
        <v/>
      </c>
      <c r="H83" s="21" t="n"/>
      <c r="I83" s="33" t="n"/>
      <c r="J83" s="35">
        <f>IF($A83="","",YEAR($A83)*100+MONTH($A83))</f>
        <v/>
      </c>
      <c r="K83" s="21" t="inlineStr">
        <is>
          <t>? Booker, Daniel — UNIDENTIFIED</t>
        </is>
      </c>
    </row>
    <row r="84">
      <c r="A84" s="32" t="n">
        <v>46142</v>
      </c>
      <c r="B84" s="21" t="inlineStr">
        <is>
          <t>EQ - Sole Prop Chequing</t>
        </is>
      </c>
      <c r="C84" s="21" t="inlineStr">
        <is>
          <t>Interest received</t>
        </is>
      </c>
      <c r="D84" s="33" t="n">
        <v>80.06999999999999</v>
      </c>
      <c r="E84" s="34">
        <f>IF($B84="","",IFERROR(INDEX('ACCOUNT MAP'!$C$6:$C$44,MATCH($B84,'ACCOUNT MAP'!$A$6:$A$44,0)),"! UNMAPPED ACCOUNT"))</f>
        <v/>
      </c>
      <c r="F84" s="21" t="inlineStr">
        <is>
          <t>Other business income</t>
        </is>
      </c>
      <c r="G84" s="34">
        <f>IF($F84="","",IFERROR(INDEX(CATEGORIES!$C$5:$C$49,MATCH($F84,CATEGORIES!$B$5:$B$49,0)),"! UNKNOWN CATEGORY"))</f>
        <v/>
      </c>
      <c r="H84" s="21" t="n"/>
      <c r="I84" s="33" t="n"/>
      <c r="J84" s="35">
        <f>IF($A84="","",YEAR($A84)*100+MONTH($A84))</f>
        <v/>
      </c>
      <c r="K84" s="21" t="inlineStr"/>
    </row>
    <row r="85">
      <c r="A85" s="32" t="n">
        <v>46143</v>
      </c>
      <c r="B85" s="21" t="inlineStr">
        <is>
          <t>EQ - Sole Prop Chequing</t>
        </is>
      </c>
      <c r="C85" s="21" t="inlineStr">
        <is>
          <t>Interac e-Transfer sent to Booker, Daniel</t>
        </is>
      </c>
      <c r="D85" s="33" t="n">
        <v>-100</v>
      </c>
      <c r="E85" s="34">
        <f>IF($B85="","",IFERROR(INDEX('ACCOUNT MAP'!$C$6:$C$44,MATCH($B85,'ACCOUNT MAP'!$A$6:$A$44,0)),"! UNMAPPED ACCOUNT"))</f>
        <v/>
      </c>
      <c r="F85" s="21" t="inlineStr">
        <is>
          <t>! UNCLEAR - NEEDS REVIEW</t>
        </is>
      </c>
      <c r="G85" s="34">
        <f>IF($F85="","",IFERROR(INDEX(CATEGORIES!$C$5:$C$49,MATCH($F85,CATEGORIES!$B$5:$B$49,0)),"! UNKNOWN CATEGORY"))</f>
        <v/>
      </c>
      <c r="H85" s="21" t="n"/>
      <c r="I85" s="33" t="n"/>
      <c r="J85" s="35">
        <f>IF($A85="","",YEAR($A85)*100+MONTH($A85))</f>
        <v/>
      </c>
      <c r="K85" s="21" t="inlineStr">
        <is>
          <t>? Booker, Daniel — UNIDENTIFIED</t>
        </is>
      </c>
    </row>
    <row r="86">
      <c r="A86" s="32" t="n">
        <v>46143</v>
      </c>
      <c r="B86" s="21" t="inlineStr">
        <is>
          <t>EQ - Sole Prop Chequing</t>
        </is>
      </c>
      <c r="C86" s="21" t="inlineStr">
        <is>
          <t>Interac e-Transfer received from  LYNN KATHLEEN MARINI</t>
        </is>
      </c>
      <c r="D86" s="33" t="n">
        <v>315</v>
      </c>
      <c r="E86" s="34">
        <f>IF($B86="","",IFERROR(INDEX('ACCOUNT MAP'!$C$6:$C$44,MATCH($B86,'ACCOUNT MAP'!$A$6:$A$44,0)),"! UNMAPPED ACCOUNT"))</f>
        <v/>
      </c>
      <c r="F86" s="21" t="inlineStr">
        <is>
          <t>Client payment received</t>
        </is>
      </c>
      <c r="G86" s="34">
        <f>IF($F86="","",IFERROR(INDEX(CATEGORIES!$C$5:$C$49,MATCH($F86,CATEGORIES!$B$5:$B$49,0)),"! UNKNOWN CATEGORY"))</f>
        <v/>
      </c>
      <c r="H86" s="21" t="n"/>
      <c r="I86" s="33" t="n">
        <v>15</v>
      </c>
      <c r="J86" s="35">
        <f>IF($A86="","",YEAR($A86)*100+MONTH($A86))</f>
        <v/>
      </c>
      <c r="K86" s="21" t="inlineStr"/>
    </row>
    <row r="87">
      <c r="A87" s="32" t="n">
        <v>46145</v>
      </c>
      <c r="B87" s="21" t="inlineStr">
        <is>
          <t>EQ - Sole Prop Chequing</t>
        </is>
      </c>
      <c r="C87" s="21" t="inlineStr">
        <is>
          <t>Mobile cheque deposit</t>
        </is>
      </c>
      <c r="D87" s="33" t="n">
        <v>689.0700000000001</v>
      </c>
      <c r="E87" s="34">
        <f>IF($B87="","",IFERROR(INDEX('ACCOUNT MAP'!$C$6:$C$44,MATCH($B87,'ACCOUNT MAP'!$A$6:$A$44,0)),"! UNMAPPED ACCOUNT"))</f>
        <v/>
      </c>
      <c r="F87" s="21" t="inlineStr">
        <is>
          <t>Client payment received</t>
        </is>
      </c>
      <c r="G87" s="34">
        <f>IF($F87="","",IFERROR(INDEX(CATEGORIES!$C$5:$C$49,MATCH($F87,CATEGORIES!$B$5:$B$49,0)),"! UNKNOWN CATEGORY"))</f>
        <v/>
      </c>
      <c r="H87" s="21" t="n"/>
      <c r="I87" s="33" t="n">
        <v>32.81</v>
      </c>
      <c r="J87" s="35">
        <f>IF($A87="","",YEAR($A87)*100+MONTH($A87))</f>
        <v/>
      </c>
      <c r="K87" s="21" t="inlineStr"/>
    </row>
    <row r="88">
      <c r="A88" s="32" t="n">
        <v>46145</v>
      </c>
      <c r="B88" s="21" t="inlineStr">
        <is>
          <t>EQ - Sole Prop Chequing</t>
        </is>
      </c>
      <c r="C88" s="21" t="inlineStr">
        <is>
          <t>Mobile cheque deposit</t>
        </is>
      </c>
      <c r="D88" s="33" t="n">
        <v>2932.17</v>
      </c>
      <c r="E88" s="34">
        <f>IF($B88="","",IFERROR(INDEX('ACCOUNT MAP'!$C$6:$C$44,MATCH($B88,'ACCOUNT MAP'!$A$6:$A$44,0)),"! UNMAPPED ACCOUNT"))</f>
        <v/>
      </c>
      <c r="F88" s="21" t="inlineStr">
        <is>
          <t>Client payment received</t>
        </is>
      </c>
      <c r="G88" s="34">
        <f>IF($F88="","",IFERROR(INDEX(CATEGORIES!$C$5:$C$49,MATCH($F88,CATEGORIES!$B$5:$B$49,0)),"! UNKNOWN CATEGORY"))</f>
        <v/>
      </c>
      <c r="H88" s="21" t="n"/>
      <c r="I88" s="33" t="n">
        <v>139.63</v>
      </c>
      <c r="J88" s="35">
        <f>IF($A88="","",YEAR($A88)*100+MONTH($A88))</f>
        <v/>
      </c>
      <c r="K88" s="21" t="inlineStr"/>
    </row>
    <row r="89">
      <c r="A89" s="32" t="n">
        <v>46147</v>
      </c>
      <c r="B89" s="21" t="inlineStr">
        <is>
          <t>EQ - Sole Prop Chequing</t>
        </is>
      </c>
      <c r="C89" s="21" t="inlineStr">
        <is>
          <t>Interac e-Transfer sent to Booker, Daniel</t>
        </is>
      </c>
      <c r="D89" s="33" t="n">
        <v>-204.05</v>
      </c>
      <c r="E89" s="34">
        <f>IF($B89="","",IFERROR(INDEX('ACCOUNT MAP'!$C$6:$C$44,MATCH($B89,'ACCOUNT MAP'!$A$6:$A$44,0)),"! UNMAPPED ACCOUNT"))</f>
        <v/>
      </c>
      <c r="F89" s="21" t="inlineStr">
        <is>
          <t>! UNCLEAR - NEEDS REVIEW</t>
        </is>
      </c>
      <c r="G89" s="34">
        <f>IF($F89="","",IFERROR(INDEX(CATEGORIES!$C$5:$C$49,MATCH($F89,CATEGORIES!$B$5:$B$49,0)),"! UNKNOWN CATEGORY"))</f>
        <v/>
      </c>
      <c r="H89" s="21" t="n"/>
      <c r="I89" s="33" t="n"/>
      <c r="J89" s="35">
        <f>IF($A89="","",YEAR($A89)*100+MONTH($A89))</f>
        <v/>
      </c>
      <c r="K89" s="21" t="inlineStr">
        <is>
          <t>? Booker, Daniel — UNIDENTIFIED</t>
        </is>
      </c>
    </row>
    <row r="90">
      <c r="A90" s="32" t="n">
        <v>46147</v>
      </c>
      <c r="B90" s="21" t="inlineStr">
        <is>
          <t>EQ - Sole Prop Chequing</t>
        </is>
      </c>
      <c r="C90" s="21" t="inlineStr">
        <is>
          <t>Interac e-Transfer sent to Dean (black box)</t>
        </is>
      </c>
      <c r="D90" s="33" t="n">
        <v>-2431.78</v>
      </c>
      <c r="E90" s="34">
        <f>IF($B90="","",IFERROR(INDEX('ACCOUNT MAP'!$C$6:$C$44,MATCH($B90,'ACCOUNT MAP'!$A$6:$A$44,0)),"! UNMAPPED ACCOUNT"))</f>
        <v/>
      </c>
      <c r="F90" s="21" t="inlineStr">
        <is>
          <t>Materials and plants</t>
        </is>
      </c>
      <c r="G90" s="34">
        <f>IF($F90="","",IFERROR(INDEX(CATEGORIES!$C$5:$C$49,MATCH($F90,CATEGORIES!$B$5:$B$49,0)),"! UNKNOWN CATEGORY"))</f>
        <v/>
      </c>
      <c r="H90" s="21" t="n"/>
      <c r="I90" s="33" t="n"/>
      <c r="J90" s="35">
        <f>IF($A90="","",YEAR($A90)*100+MONTH($A90))</f>
        <v/>
      </c>
      <c r="K90" s="21" t="inlineStr"/>
    </row>
    <row r="91">
      <c r="A91" s="32" t="n">
        <v>46147</v>
      </c>
      <c r="B91" s="21" t="inlineStr">
        <is>
          <t>EQ - Sole Prop Chequing</t>
        </is>
      </c>
      <c r="C91" s="21" t="inlineStr">
        <is>
          <t>Interac e-Transfer sent to Canadian Tire Bank</t>
        </is>
      </c>
      <c r="D91" s="33" t="n">
        <v>-545.37</v>
      </c>
      <c r="E91" s="34">
        <f>IF($B91="","",IFERROR(INDEX('ACCOUNT MAP'!$C$6:$C$44,MATCH($B91,'ACCOUNT MAP'!$A$6:$A$44,0)),"! UNMAPPED ACCOUNT"))</f>
        <v/>
      </c>
      <c r="F91" s="21" t="inlineStr">
        <is>
          <t>! UNCLEAR - NEEDS REVIEW</t>
        </is>
      </c>
      <c r="G91" s="34">
        <f>IF($F91="","",IFERROR(INDEX(CATEGORIES!$C$5:$C$49,MATCH($F91,CATEGORIES!$B$5:$B$49,0)),"! UNKNOWN CATEGORY"))</f>
        <v/>
      </c>
      <c r="H91" s="21" t="n"/>
      <c r="I91" s="33" t="n"/>
      <c r="J91" s="35">
        <f>IF($A91="","",YEAR($A91)*100+MONTH($A91))</f>
        <v/>
      </c>
      <c r="K91" s="21" t="inlineStr">
        <is>
          <t>Credit card payment — Canadian Tire Bank</t>
        </is>
      </c>
    </row>
    <row r="92">
      <c r="A92" s="32" t="n">
        <v>46147</v>
      </c>
      <c r="B92" s="21" t="inlineStr">
        <is>
          <t>EQ - Sole Prop Chequing</t>
        </is>
      </c>
      <c r="C92" s="21" t="inlineStr">
        <is>
          <t>Interac e-Transfer sent to Kyle (Personal Account)</t>
        </is>
      </c>
      <c r="D92" s="33" t="n">
        <v>-1600</v>
      </c>
      <c r="E92" s="34">
        <f>IF($B92="","",IFERROR(INDEX('ACCOUNT MAP'!$C$6:$C$44,MATCH($B92,'ACCOUNT MAP'!$A$6:$A$44,0)),"! UNMAPPED ACCOUNT"))</f>
        <v/>
      </c>
      <c r="F92" s="21" t="inlineStr">
        <is>
          <t>Owner draw (sole prop)</t>
        </is>
      </c>
      <c r="G92" s="34">
        <f>IF($F92="","",IFERROR(INDEX(CATEGORIES!$C$5:$C$49,MATCH($F92,CATEGORIES!$B$5:$B$49,0)),"! UNKNOWN CATEGORY"))</f>
        <v/>
      </c>
      <c r="H92" s="21" t="n"/>
      <c r="I92" s="33" t="n"/>
      <c r="J92" s="35">
        <f>IF($A92="","",YEAR($A92)*100+MONTH($A92))</f>
        <v/>
      </c>
      <c r="K92" s="21" t="inlineStr"/>
    </row>
    <row r="93">
      <c r="A93" s="32" t="n">
        <v>46148</v>
      </c>
      <c r="B93" s="21" t="inlineStr">
        <is>
          <t>EQ - Sole Prop Chequing</t>
        </is>
      </c>
      <c r="C93" s="21" t="inlineStr">
        <is>
          <t>Interac e-Transfer received from  John Woods</t>
        </is>
      </c>
      <c r="D93" s="33" t="n">
        <v>441</v>
      </c>
      <c r="E93" s="34">
        <f>IF($B93="","",IFERROR(INDEX('ACCOUNT MAP'!$C$6:$C$44,MATCH($B93,'ACCOUNT MAP'!$A$6:$A$44,0)),"! UNMAPPED ACCOUNT"))</f>
        <v/>
      </c>
      <c r="F93" s="21" t="inlineStr">
        <is>
          <t>Client payment received</t>
        </is>
      </c>
      <c r="G93" s="34">
        <f>IF($F93="","",IFERROR(INDEX(CATEGORIES!$C$5:$C$49,MATCH($F93,CATEGORIES!$B$5:$B$49,0)),"! UNKNOWN CATEGORY"))</f>
        <v/>
      </c>
      <c r="H93" s="21" t="n"/>
      <c r="I93" s="33" t="n">
        <v>21</v>
      </c>
      <c r="J93" s="35">
        <f>IF($A93="","",YEAR($A93)*100+MONTH($A93))</f>
        <v/>
      </c>
      <c r="K93" s="21" t="inlineStr"/>
    </row>
    <row r="94">
      <c r="A94" s="32" t="n">
        <v>46148</v>
      </c>
      <c r="B94" s="21" t="inlineStr">
        <is>
          <t>EQ - Sole Prop Chequing</t>
        </is>
      </c>
      <c r="C94" s="21" t="inlineStr">
        <is>
          <t>Auto-withdrawal by AMEX BILL PYMT</t>
        </is>
      </c>
      <c r="D94" s="33" t="n">
        <v>-1326.78</v>
      </c>
      <c r="E94" s="34">
        <f>IF($B94="","",IFERROR(INDEX('ACCOUNT MAP'!$C$6:$C$44,MATCH($B94,'ACCOUNT MAP'!$A$6:$A$44,0)),"! UNMAPPED ACCOUNT"))</f>
        <v/>
      </c>
      <c r="F94" s="21" t="inlineStr">
        <is>
          <t>! UNCLEAR - NEEDS REVIEW</t>
        </is>
      </c>
      <c r="G94" s="34">
        <f>IF($F94="","",IFERROR(INDEX(CATEGORIES!$C$5:$C$49,MATCH($F94,CATEGORIES!$B$5:$B$49,0)),"! UNKNOWN CATEGORY"))</f>
        <v/>
      </c>
      <c r="H94" s="21" t="n"/>
      <c r="I94" s="33" t="n"/>
      <c r="J94" s="35">
        <f>IF($A94="","",YEAR($A94)*100+MONTH($A94))</f>
        <v/>
      </c>
      <c r="K94" s="21" t="inlineStr">
        <is>
          <t>Credit card payment — AMEX BILL PYMT</t>
        </is>
      </c>
    </row>
    <row r="95">
      <c r="A95" s="32" t="n">
        <v>46149</v>
      </c>
      <c r="B95" s="21" t="inlineStr">
        <is>
          <t>EQ - Sole Prop Chequing</t>
        </is>
      </c>
      <c r="C95" s="21" t="inlineStr">
        <is>
          <t>Mobile cheque deposit</t>
        </is>
      </c>
      <c r="D95" s="33" t="n">
        <v>32500</v>
      </c>
      <c r="E95" s="34">
        <f>IF($B95="","",IFERROR(INDEX('ACCOUNT MAP'!$C$6:$C$44,MATCH($B95,'ACCOUNT MAP'!$A$6:$A$44,0)),"! UNMAPPED ACCOUNT"))</f>
        <v/>
      </c>
      <c r="F95" s="21" t="inlineStr">
        <is>
          <t>Client payment received</t>
        </is>
      </c>
      <c r="G95" s="34">
        <f>IF($F95="","",IFERROR(INDEX(CATEGORIES!$C$5:$C$49,MATCH($F95,CATEGORIES!$B$5:$B$49,0)),"! UNKNOWN CATEGORY"))</f>
        <v/>
      </c>
      <c r="H95" s="21" t="n"/>
      <c r="I95" s="33" t="n">
        <v>1547.62</v>
      </c>
      <c r="J95" s="35">
        <f>IF($A95="","",YEAR($A95)*100+MONTH($A95))</f>
        <v/>
      </c>
      <c r="K95" s="21" t="inlineStr"/>
    </row>
    <row r="96">
      <c r="A96" s="32" t="n">
        <v>46149</v>
      </c>
      <c r="B96" s="21" t="inlineStr">
        <is>
          <t>EQ - Sole Prop Chequing</t>
        </is>
      </c>
      <c r="C96" s="21" t="inlineStr">
        <is>
          <t>Mobile cheque deposit</t>
        </is>
      </c>
      <c r="D96" s="33" t="n">
        <v>10000</v>
      </c>
      <c r="E96" s="34">
        <f>IF($B96="","",IFERROR(INDEX('ACCOUNT MAP'!$C$6:$C$44,MATCH($B96,'ACCOUNT MAP'!$A$6:$A$44,0)),"! UNMAPPED ACCOUNT"))</f>
        <v/>
      </c>
      <c r="F96" s="21" t="inlineStr">
        <is>
          <t>Client payment received</t>
        </is>
      </c>
      <c r="G96" s="34">
        <f>IF($F96="","",IFERROR(INDEX(CATEGORIES!$C$5:$C$49,MATCH($F96,CATEGORIES!$B$5:$B$49,0)),"! UNKNOWN CATEGORY"))</f>
        <v/>
      </c>
      <c r="H96" s="21" t="n"/>
      <c r="I96" s="33" t="n">
        <v>476.19</v>
      </c>
      <c r="J96" s="35">
        <f>IF($A96="","",YEAR($A96)*100+MONTH($A96))</f>
        <v/>
      </c>
      <c r="K96" s="21" t="inlineStr"/>
    </row>
    <row r="97">
      <c r="A97" s="32" t="n">
        <v>46149</v>
      </c>
      <c r="B97" s="21" t="inlineStr">
        <is>
          <t>EQ - Sole Prop Chequing</t>
        </is>
      </c>
      <c r="C97" s="21" t="inlineStr">
        <is>
          <t>Interac e-Transfer sent to Kevin</t>
        </is>
      </c>
      <c r="D97" s="33" t="n">
        <v>-625</v>
      </c>
      <c r="E97" s="34">
        <f>IF($B97="","",IFERROR(INDEX('ACCOUNT MAP'!$C$6:$C$44,MATCH($B97,'ACCOUNT MAP'!$A$6:$A$44,0)),"! UNMAPPED ACCOUNT"))</f>
        <v/>
      </c>
      <c r="F97" s="21" t="inlineStr">
        <is>
          <t>! UNCLEAR - NEEDS REVIEW</t>
        </is>
      </c>
      <c r="G97" s="34">
        <f>IF($F97="","",IFERROR(INDEX(CATEGORIES!$C$5:$C$49,MATCH($F97,CATEGORIES!$B$5:$B$49,0)),"! UNKNOWN CATEGORY"))</f>
        <v/>
      </c>
      <c r="H97" s="21" t="n"/>
      <c r="I97" s="33" t="n"/>
      <c r="J97" s="35">
        <f>IF($A97="","",YEAR($A97)*100+MONTH($A97))</f>
        <v/>
      </c>
      <c r="K97" s="21" t="inlineStr">
        <is>
          <t>? Crew or sub — Kevin</t>
        </is>
      </c>
    </row>
    <row r="98">
      <c r="A98" s="32" t="n">
        <v>46149</v>
      </c>
      <c r="B98" s="21" t="inlineStr">
        <is>
          <t>EQ - Sole Prop Chequing</t>
        </is>
      </c>
      <c r="C98" s="21" t="inlineStr">
        <is>
          <t>Mobile cheque deposit</t>
        </is>
      </c>
      <c r="D98" s="33" t="n">
        <v>-10000</v>
      </c>
      <c r="E98" s="34">
        <f>IF($B98="","",IFERROR(INDEX('ACCOUNT MAP'!$C$6:$C$44,MATCH($B98,'ACCOUNT MAP'!$A$6:$A$44,0)),"! UNMAPPED ACCOUNT"))</f>
        <v/>
      </c>
      <c r="F98" s="21" t="inlineStr">
        <is>
          <t>Client payment received</t>
        </is>
      </c>
      <c r="G98" s="34">
        <f>IF($F98="","",IFERROR(INDEX(CATEGORIES!$C$5:$C$49,MATCH($F98,CATEGORIES!$B$5:$B$49,0)),"! UNKNOWN CATEGORY"))</f>
        <v/>
      </c>
      <c r="H98" s="21" t="n"/>
      <c r="I98" s="33" t="n"/>
      <c r="J98" s="35">
        <f>IF($A98="","",YEAR($A98)*100+MONTH($A98))</f>
        <v/>
      </c>
      <c r="K98" s="21" t="inlineStr"/>
    </row>
    <row r="99">
      <c r="A99" s="32" t="n">
        <v>46150</v>
      </c>
      <c r="B99" s="21" t="inlineStr">
        <is>
          <t>EQ - Sole Prop Chequing</t>
        </is>
      </c>
      <c r="C99" s="21" t="inlineStr">
        <is>
          <t>Mobile cheque deposit</t>
        </is>
      </c>
      <c r="D99" s="33" t="n">
        <v>10000</v>
      </c>
      <c r="E99" s="34">
        <f>IF($B99="","",IFERROR(INDEX('ACCOUNT MAP'!$C$6:$C$44,MATCH($B99,'ACCOUNT MAP'!$A$6:$A$44,0)),"! UNMAPPED ACCOUNT"))</f>
        <v/>
      </c>
      <c r="F99" s="21" t="inlineStr">
        <is>
          <t>Client payment received</t>
        </is>
      </c>
      <c r="G99" s="34">
        <f>IF($F99="","",IFERROR(INDEX(CATEGORIES!$C$5:$C$49,MATCH($F99,CATEGORIES!$B$5:$B$49,0)),"! UNKNOWN CATEGORY"))</f>
        <v/>
      </c>
      <c r="H99" s="21" t="n"/>
      <c r="I99" s="33" t="n">
        <v>476.19</v>
      </c>
      <c r="J99" s="35">
        <f>IF($A99="","",YEAR($A99)*100+MONTH($A99))</f>
        <v/>
      </c>
      <c r="K99" s="21" t="inlineStr"/>
    </row>
    <row r="100">
      <c r="A100" s="32" t="n">
        <v>46150</v>
      </c>
      <c r="B100" s="21" t="inlineStr">
        <is>
          <t>EQ - Sole Prop Chequing</t>
        </is>
      </c>
      <c r="C100" s="21" t="inlineStr">
        <is>
          <t>Interac e-Transfer sent to PND</t>
        </is>
      </c>
      <c r="D100" s="33" t="n">
        <v>-764.05</v>
      </c>
      <c r="E100" s="34">
        <f>IF($B100="","",IFERROR(INDEX('ACCOUNT MAP'!$C$6:$C$44,MATCH($B100,'ACCOUNT MAP'!$A$6:$A$44,0)),"! UNMAPPED ACCOUNT"))</f>
        <v/>
      </c>
      <c r="F100" s="21" t="inlineStr">
        <is>
          <t>Materials and plants</t>
        </is>
      </c>
      <c r="G100" s="34">
        <f>IF($F100="","",IFERROR(INDEX(CATEGORIES!$C$5:$C$49,MATCH($F100,CATEGORIES!$B$5:$B$49,0)),"! UNKNOWN CATEGORY"))</f>
        <v/>
      </c>
      <c r="H100" s="21" t="n"/>
      <c r="I100" s="33" t="n"/>
      <c r="J100" s="35">
        <f>IF($A100="","",YEAR($A100)*100+MONTH($A100))</f>
        <v/>
      </c>
      <c r="K100" s="21" t="inlineStr"/>
    </row>
    <row r="101">
      <c r="A101" s="32" t="n">
        <v>46150</v>
      </c>
      <c r="B101" s="21" t="inlineStr">
        <is>
          <t>EQ - Sole Prop Chequing</t>
        </is>
      </c>
      <c r="C101" s="21" t="inlineStr">
        <is>
          <t>Interac e-Transfer received from  WEI ZHAO</t>
        </is>
      </c>
      <c r="D101" s="33" t="n">
        <v>378</v>
      </c>
      <c r="E101" s="34">
        <f>IF($B101="","",IFERROR(INDEX('ACCOUNT MAP'!$C$6:$C$44,MATCH($B101,'ACCOUNT MAP'!$A$6:$A$44,0)),"! UNMAPPED ACCOUNT"))</f>
        <v/>
      </c>
      <c r="F101" s="21" t="inlineStr">
        <is>
          <t>Client payment received</t>
        </is>
      </c>
      <c r="G101" s="34">
        <f>IF($F101="","",IFERROR(INDEX(CATEGORIES!$C$5:$C$49,MATCH($F101,CATEGORIES!$B$5:$B$49,0)),"! UNKNOWN CATEGORY"))</f>
        <v/>
      </c>
      <c r="H101" s="21" t="n"/>
      <c r="I101" s="33" t="n">
        <v>18</v>
      </c>
      <c r="J101" s="35">
        <f>IF($A101="","",YEAR($A101)*100+MONTH($A101))</f>
        <v/>
      </c>
      <c r="K101" s="21" t="inlineStr"/>
    </row>
    <row r="102">
      <c r="A102" s="32" t="n">
        <v>46150</v>
      </c>
      <c r="B102" s="21" t="inlineStr">
        <is>
          <t>EQ - Sole Prop Chequing</t>
        </is>
      </c>
      <c r="C102" s="21" t="inlineStr">
        <is>
          <t>Mobile cheque deposit</t>
        </is>
      </c>
      <c r="D102" s="33" t="n">
        <v>-10000</v>
      </c>
      <c r="E102" s="34">
        <f>IF($B102="","",IFERROR(INDEX('ACCOUNT MAP'!$C$6:$C$44,MATCH($B102,'ACCOUNT MAP'!$A$6:$A$44,0)),"! UNMAPPED ACCOUNT"))</f>
        <v/>
      </c>
      <c r="F102" s="21" t="inlineStr">
        <is>
          <t>Client payment received</t>
        </is>
      </c>
      <c r="G102" s="34">
        <f>IF($F102="","",IFERROR(INDEX(CATEGORIES!$C$5:$C$49,MATCH($F102,CATEGORIES!$B$5:$B$49,0)),"! UNKNOWN CATEGORY"))</f>
        <v/>
      </c>
      <c r="H102" s="21" t="n"/>
      <c r="I102" s="33" t="n"/>
      <c r="J102" s="35">
        <f>IF($A102="","",YEAR($A102)*100+MONTH($A102))</f>
        <v/>
      </c>
      <c r="K102" s="21" t="inlineStr"/>
    </row>
    <row r="103">
      <c r="A103" s="32" t="n">
        <v>46152</v>
      </c>
      <c r="B103" s="21" t="inlineStr">
        <is>
          <t>EQ - Sole Prop Chequing</t>
        </is>
      </c>
      <c r="C103" s="21" t="inlineStr">
        <is>
          <t>Interac e-Transfer received from  Andrei Moldoveanu</t>
        </is>
      </c>
      <c r="D103" s="33" t="n">
        <v>157.5</v>
      </c>
      <c r="E103" s="34">
        <f>IF($B103="","",IFERROR(INDEX('ACCOUNT MAP'!$C$6:$C$44,MATCH($B103,'ACCOUNT MAP'!$A$6:$A$44,0)),"! UNMAPPED ACCOUNT"))</f>
        <v/>
      </c>
      <c r="F103" s="21" t="inlineStr">
        <is>
          <t>Client payment received</t>
        </is>
      </c>
      <c r="G103" s="34">
        <f>IF($F103="","",IFERROR(INDEX(CATEGORIES!$C$5:$C$49,MATCH($F103,CATEGORIES!$B$5:$B$49,0)),"! UNKNOWN CATEGORY"))</f>
        <v/>
      </c>
      <c r="H103" s="21" t="n"/>
      <c r="I103" s="33" t="n">
        <v>7.5</v>
      </c>
      <c r="J103" s="35">
        <f>IF($A103="","",YEAR($A103)*100+MONTH($A103))</f>
        <v/>
      </c>
      <c r="K103" s="21" t="inlineStr"/>
    </row>
    <row r="104">
      <c r="A104" s="32" t="n">
        <v>46153</v>
      </c>
      <c r="B104" s="21" t="inlineStr">
        <is>
          <t>EQ - Sole Prop Chequing</t>
        </is>
      </c>
      <c r="C104" s="21" t="inlineStr">
        <is>
          <t>Interac e-Transfer received from  BEVERLY DEVRIES</t>
        </is>
      </c>
      <c r="D104" s="33" t="n">
        <v>420</v>
      </c>
      <c r="E104" s="34">
        <f>IF($B104="","",IFERROR(INDEX('ACCOUNT MAP'!$C$6:$C$44,MATCH($B104,'ACCOUNT MAP'!$A$6:$A$44,0)),"! UNMAPPED ACCOUNT"))</f>
        <v/>
      </c>
      <c r="F104" s="21" t="inlineStr">
        <is>
          <t>Client payment received</t>
        </is>
      </c>
      <c r="G104" s="34">
        <f>IF($F104="","",IFERROR(INDEX(CATEGORIES!$C$5:$C$49,MATCH($F104,CATEGORIES!$B$5:$B$49,0)),"! UNKNOWN CATEGORY"))</f>
        <v/>
      </c>
      <c r="H104" s="21" t="n"/>
      <c r="I104" s="33" t="n">
        <v>20</v>
      </c>
      <c r="J104" s="35">
        <f>IF($A104="","",YEAR($A104)*100+MONTH($A104))</f>
        <v/>
      </c>
      <c r="K104" s="21" t="inlineStr"/>
    </row>
    <row r="105">
      <c r="A105" s="32" t="n">
        <v>46153</v>
      </c>
      <c r="B105" s="21" t="inlineStr">
        <is>
          <t>EQ - Sole Prop Chequing</t>
        </is>
      </c>
      <c r="C105" s="21" t="inlineStr">
        <is>
          <t>Mobile cheque deposit</t>
        </is>
      </c>
      <c r="D105" s="33" t="n">
        <v>4536</v>
      </c>
      <c r="E105" s="34">
        <f>IF($B105="","",IFERROR(INDEX('ACCOUNT MAP'!$C$6:$C$44,MATCH($B105,'ACCOUNT MAP'!$A$6:$A$44,0)),"! UNMAPPED ACCOUNT"))</f>
        <v/>
      </c>
      <c r="F105" s="21" t="inlineStr">
        <is>
          <t>Client payment received</t>
        </is>
      </c>
      <c r="G105" s="34">
        <f>IF($F105="","",IFERROR(INDEX(CATEGORIES!$C$5:$C$49,MATCH($F105,CATEGORIES!$B$5:$B$49,0)),"! UNKNOWN CATEGORY"))</f>
        <v/>
      </c>
      <c r="H105" s="21" t="n"/>
      <c r="I105" s="33" t="n">
        <v>216</v>
      </c>
      <c r="J105" s="35">
        <f>IF($A105="","",YEAR($A105)*100+MONTH($A105))</f>
        <v/>
      </c>
      <c r="K105" s="21" t="inlineStr"/>
    </row>
    <row r="106">
      <c r="A106" s="32" t="n">
        <v>46153</v>
      </c>
      <c r="B106" s="21" t="inlineStr">
        <is>
          <t>EQ - Sole Prop Chequing</t>
        </is>
      </c>
      <c r="C106" s="21" t="inlineStr">
        <is>
          <t>Interac e-Transfer sent to Booker, Daniel</t>
        </is>
      </c>
      <c r="D106" s="33" t="n">
        <v>-1909.08</v>
      </c>
      <c r="E106" s="34">
        <f>IF($B106="","",IFERROR(INDEX('ACCOUNT MAP'!$C$6:$C$44,MATCH($B106,'ACCOUNT MAP'!$A$6:$A$44,0)),"! UNMAPPED ACCOUNT"))</f>
        <v/>
      </c>
      <c r="F106" s="21" t="inlineStr">
        <is>
          <t>! UNCLEAR - NEEDS REVIEW</t>
        </is>
      </c>
      <c r="G106" s="34">
        <f>IF($F106="","",IFERROR(INDEX(CATEGORIES!$C$5:$C$49,MATCH($F106,CATEGORIES!$B$5:$B$49,0)),"! UNKNOWN CATEGORY"))</f>
        <v/>
      </c>
      <c r="H106" s="21" t="n"/>
      <c r="I106" s="33" t="n"/>
      <c r="J106" s="35">
        <f>IF($A106="","",YEAR($A106)*100+MONTH($A106))</f>
        <v/>
      </c>
      <c r="K106" s="21" t="inlineStr">
        <is>
          <t>? Booker, Daniel — UNIDENTIFIED</t>
        </is>
      </c>
    </row>
    <row r="107">
      <c r="A107" s="32" t="n">
        <v>46153</v>
      </c>
      <c r="B107" s="21" t="inlineStr">
        <is>
          <t>EQ - Sole Prop Chequing</t>
        </is>
      </c>
      <c r="C107" s="21" t="inlineStr">
        <is>
          <t>Interac e-Transfer sent to Kierran Kivinen</t>
        </is>
      </c>
      <c r="D107" s="33" t="n">
        <v>-1676.88</v>
      </c>
      <c r="E107" s="34">
        <f>IF($B107="","",IFERROR(INDEX('ACCOUNT MAP'!$C$6:$C$44,MATCH($B107,'ACCOUNT MAP'!$A$6:$A$44,0)),"! UNMAPPED ACCOUNT"))</f>
        <v/>
      </c>
      <c r="F107" s="21" t="inlineStr">
        <is>
          <t>Crew wages (net pay out)</t>
        </is>
      </c>
      <c r="G107" s="34">
        <f>IF($F107="","",IFERROR(INDEX(CATEGORIES!$C$5:$C$49,MATCH($F107,CATEGORIES!$B$5:$B$49,0)),"! UNKNOWN CATEGORY"))</f>
        <v/>
      </c>
      <c r="H107" s="21" t="n"/>
      <c r="I107" s="33" t="n"/>
      <c r="J107" s="35">
        <f>IF($A107="","",YEAR($A107)*100+MONTH($A107))</f>
        <v/>
      </c>
      <c r="K107" s="21" t="inlineStr"/>
    </row>
    <row r="108">
      <c r="A108" s="32" t="n">
        <v>46154</v>
      </c>
      <c r="B108" s="21" t="inlineStr">
        <is>
          <t>EQ - Sole Prop Chequing</t>
        </is>
      </c>
      <c r="C108" s="21" t="inlineStr">
        <is>
          <t>Interac e-Transfer received from  WILLIAM SANDERSON</t>
        </is>
      </c>
      <c r="D108" s="33" t="n">
        <v>1233.75</v>
      </c>
      <c r="E108" s="34">
        <f>IF($B108="","",IFERROR(INDEX('ACCOUNT MAP'!$C$6:$C$44,MATCH($B108,'ACCOUNT MAP'!$A$6:$A$44,0)),"! UNMAPPED ACCOUNT"))</f>
        <v/>
      </c>
      <c r="F108" s="21" t="inlineStr">
        <is>
          <t>Client payment received</t>
        </is>
      </c>
      <c r="G108" s="34">
        <f>IF($F108="","",IFERROR(INDEX(CATEGORIES!$C$5:$C$49,MATCH($F108,CATEGORIES!$B$5:$B$49,0)),"! UNKNOWN CATEGORY"))</f>
        <v/>
      </c>
      <c r="H108" s="21" t="n"/>
      <c r="I108" s="33" t="n">
        <v>58.75</v>
      </c>
      <c r="J108" s="35">
        <f>IF($A108="","",YEAR($A108)*100+MONTH($A108))</f>
        <v/>
      </c>
      <c r="K108" s="21" t="inlineStr"/>
    </row>
    <row r="109">
      <c r="A109" s="32" t="n">
        <v>46155</v>
      </c>
      <c r="B109" s="21" t="inlineStr">
        <is>
          <t>EQ - Sole Prop Chequing</t>
        </is>
      </c>
      <c r="C109" s="21" t="inlineStr">
        <is>
          <t>Interac e-Transfer received from  DAVID C NEWSOME</t>
        </is>
      </c>
      <c r="D109" s="33" t="n">
        <v>115.5</v>
      </c>
      <c r="E109" s="34">
        <f>IF($B109="","",IFERROR(INDEX('ACCOUNT MAP'!$C$6:$C$44,MATCH($B109,'ACCOUNT MAP'!$A$6:$A$44,0)),"! UNMAPPED ACCOUNT"))</f>
        <v/>
      </c>
      <c r="F109" s="21" t="inlineStr">
        <is>
          <t>Client payment received</t>
        </is>
      </c>
      <c r="G109" s="34">
        <f>IF($F109="","",IFERROR(INDEX(CATEGORIES!$C$5:$C$49,MATCH($F109,CATEGORIES!$B$5:$B$49,0)),"! UNKNOWN CATEGORY"))</f>
        <v/>
      </c>
      <c r="H109" s="21" t="n"/>
      <c r="I109" s="33" t="n">
        <v>5.5</v>
      </c>
      <c r="J109" s="35">
        <f>IF($A109="","",YEAR($A109)*100+MONTH($A109))</f>
        <v/>
      </c>
      <c r="K109" s="21" t="inlineStr"/>
    </row>
    <row r="110">
      <c r="A110" s="32" t="n">
        <v>46156</v>
      </c>
      <c r="B110" s="21" t="inlineStr">
        <is>
          <t>EQ - Sole Prop Chequing</t>
        </is>
      </c>
      <c r="C110" s="21" t="inlineStr">
        <is>
          <t>Interac e-Transfer received from  ANITA FLEICE</t>
        </is>
      </c>
      <c r="D110" s="33" t="n">
        <v>882</v>
      </c>
      <c r="E110" s="34">
        <f>IF($B110="","",IFERROR(INDEX('ACCOUNT MAP'!$C$6:$C$44,MATCH($B110,'ACCOUNT MAP'!$A$6:$A$44,0)),"! UNMAPPED ACCOUNT"))</f>
        <v/>
      </c>
      <c r="F110" s="21" t="inlineStr">
        <is>
          <t>Client payment received</t>
        </is>
      </c>
      <c r="G110" s="34">
        <f>IF($F110="","",IFERROR(INDEX(CATEGORIES!$C$5:$C$49,MATCH($F110,CATEGORIES!$B$5:$B$49,0)),"! UNKNOWN CATEGORY"))</f>
        <v/>
      </c>
      <c r="H110" s="21" t="n"/>
      <c r="I110" s="33" t="n">
        <v>42</v>
      </c>
      <c r="J110" s="35">
        <f>IF($A110="","",YEAR($A110)*100+MONTH($A110))</f>
        <v/>
      </c>
      <c r="K110" s="21" t="inlineStr"/>
    </row>
    <row r="111">
      <c r="A111" s="32" t="n">
        <v>46156</v>
      </c>
      <c r="B111" s="21" t="inlineStr">
        <is>
          <t>EQ - Sole Prop Chequing</t>
        </is>
      </c>
      <c r="C111" s="21" t="inlineStr">
        <is>
          <t>Interac e-Transfer sent to Kyle (Personal Account)</t>
        </is>
      </c>
      <c r="D111" s="33" t="n">
        <v>-8000</v>
      </c>
      <c r="E111" s="34">
        <f>IF($B111="","",IFERROR(INDEX('ACCOUNT MAP'!$C$6:$C$44,MATCH($B111,'ACCOUNT MAP'!$A$6:$A$44,0)),"! UNMAPPED ACCOUNT"))</f>
        <v/>
      </c>
      <c r="F111" s="21" t="inlineStr">
        <is>
          <t>Owner draw (sole prop)</t>
        </is>
      </c>
      <c r="G111" s="34">
        <f>IF($F111="","",IFERROR(INDEX(CATEGORIES!$C$5:$C$49,MATCH($F111,CATEGORIES!$B$5:$B$49,0)),"! UNKNOWN CATEGORY"))</f>
        <v/>
      </c>
      <c r="H111" s="21" t="n"/>
      <c r="I111" s="33" t="n"/>
      <c r="J111" s="35">
        <f>IF($A111="","",YEAR($A111)*100+MONTH($A111))</f>
        <v/>
      </c>
      <c r="K111" s="21" t="inlineStr"/>
    </row>
    <row r="112">
      <c r="A112" s="32" t="n">
        <v>46157</v>
      </c>
      <c r="B112" s="21" t="inlineStr">
        <is>
          <t>EQ - Sole Prop Chequing</t>
        </is>
      </c>
      <c r="C112" s="21" t="inlineStr">
        <is>
          <t>Interac e-Transfer received from  Andrei Moldoveanu</t>
        </is>
      </c>
      <c r="D112" s="33" t="n">
        <v>564.9</v>
      </c>
      <c r="E112" s="34">
        <f>IF($B112="","",IFERROR(INDEX('ACCOUNT MAP'!$C$6:$C$44,MATCH($B112,'ACCOUNT MAP'!$A$6:$A$44,0)),"! UNMAPPED ACCOUNT"))</f>
        <v/>
      </c>
      <c r="F112" s="21" t="inlineStr">
        <is>
          <t>Client payment received</t>
        </is>
      </c>
      <c r="G112" s="34">
        <f>IF($F112="","",IFERROR(INDEX(CATEGORIES!$C$5:$C$49,MATCH($F112,CATEGORIES!$B$5:$B$49,0)),"! UNKNOWN CATEGORY"))</f>
        <v/>
      </c>
      <c r="H112" s="21" t="n"/>
      <c r="I112" s="33" t="n">
        <v>26.9</v>
      </c>
      <c r="J112" s="35">
        <f>IF($A112="","",YEAR($A112)*100+MONTH($A112))</f>
        <v/>
      </c>
      <c r="K112" s="21" t="inlineStr"/>
    </row>
    <row r="113">
      <c r="A113" s="32" t="n">
        <v>46157</v>
      </c>
      <c r="B113" s="21" t="inlineStr">
        <is>
          <t>EQ - Sole Prop Chequing</t>
        </is>
      </c>
      <c r="C113" s="21" t="inlineStr">
        <is>
          <t>Mobile cheque deposit</t>
        </is>
      </c>
      <c r="D113" s="33" t="n">
        <v>10000</v>
      </c>
      <c r="E113" s="34">
        <f>IF($B113="","",IFERROR(INDEX('ACCOUNT MAP'!$C$6:$C$44,MATCH($B113,'ACCOUNT MAP'!$A$6:$A$44,0)),"! UNMAPPED ACCOUNT"))</f>
        <v/>
      </c>
      <c r="F113" s="21" t="inlineStr">
        <is>
          <t>Client payment received</t>
        </is>
      </c>
      <c r="G113" s="34">
        <f>IF($F113="","",IFERROR(INDEX(CATEGORIES!$C$5:$C$49,MATCH($F113,CATEGORIES!$B$5:$B$49,0)),"! UNKNOWN CATEGORY"))</f>
        <v/>
      </c>
      <c r="H113" s="21" t="n"/>
      <c r="I113" s="33" t="n">
        <v>476.19</v>
      </c>
      <c r="J113" s="35">
        <f>IF($A113="","",YEAR($A113)*100+MONTH($A113))</f>
        <v/>
      </c>
      <c r="K113" s="21" t="inlineStr"/>
    </row>
    <row r="114">
      <c r="A114" s="32" t="n">
        <v>46157</v>
      </c>
      <c r="B114" s="21" t="inlineStr">
        <is>
          <t>EQ - Sole Prop Chequing</t>
        </is>
      </c>
      <c r="C114" s="21" t="inlineStr">
        <is>
          <t>Mobile cheque deposit</t>
        </is>
      </c>
      <c r="D114" s="33" t="n">
        <v>819</v>
      </c>
      <c r="E114" s="34">
        <f>IF($B114="","",IFERROR(INDEX('ACCOUNT MAP'!$C$6:$C$44,MATCH($B114,'ACCOUNT MAP'!$A$6:$A$44,0)),"! UNMAPPED ACCOUNT"))</f>
        <v/>
      </c>
      <c r="F114" s="21" t="inlineStr">
        <is>
          <t>Client payment received</t>
        </is>
      </c>
      <c r="G114" s="34">
        <f>IF($F114="","",IFERROR(INDEX(CATEGORIES!$C$5:$C$49,MATCH($F114,CATEGORIES!$B$5:$B$49,0)),"! UNKNOWN CATEGORY"))</f>
        <v/>
      </c>
      <c r="H114" s="21" t="n"/>
      <c r="I114" s="33" t="n">
        <v>39</v>
      </c>
      <c r="J114" s="35">
        <f>IF($A114="","",YEAR($A114)*100+MONTH($A114))</f>
        <v/>
      </c>
      <c r="K114" s="21" t="inlineStr"/>
    </row>
    <row r="115">
      <c r="A115" s="32" t="n">
        <v>46158</v>
      </c>
      <c r="B115" s="21" t="inlineStr">
        <is>
          <t>EQ - Sole Prop Chequing</t>
        </is>
      </c>
      <c r="C115" s="21" t="inlineStr">
        <is>
          <t>Interac e-Transfer received from  Filomena Giulione</t>
        </is>
      </c>
      <c r="D115" s="33" t="n">
        <v>189</v>
      </c>
      <c r="E115" s="34">
        <f>IF($B115="","",IFERROR(INDEX('ACCOUNT MAP'!$C$6:$C$44,MATCH($B115,'ACCOUNT MAP'!$A$6:$A$44,0)),"! UNMAPPED ACCOUNT"))</f>
        <v/>
      </c>
      <c r="F115" s="21" t="inlineStr">
        <is>
          <t>Client payment received</t>
        </is>
      </c>
      <c r="G115" s="34">
        <f>IF($F115="","",IFERROR(INDEX(CATEGORIES!$C$5:$C$49,MATCH($F115,CATEGORIES!$B$5:$B$49,0)),"! UNKNOWN CATEGORY"))</f>
        <v/>
      </c>
      <c r="H115" s="21" t="n"/>
      <c r="I115" s="33" t="n">
        <v>9</v>
      </c>
      <c r="J115" s="35">
        <f>IF($A115="","",YEAR($A115)*100+MONTH($A115))</f>
        <v/>
      </c>
      <c r="K115" s="21" t="inlineStr"/>
    </row>
    <row r="116">
      <c r="A116" s="32" t="n">
        <v>46159</v>
      </c>
      <c r="B116" s="21" t="inlineStr">
        <is>
          <t>EQ - Sole Prop Chequing</t>
        </is>
      </c>
      <c r="C116" s="21" t="inlineStr">
        <is>
          <t>Interac e-Transfer received from  BRUCE D REID</t>
        </is>
      </c>
      <c r="D116" s="33" t="n">
        <v>525</v>
      </c>
      <c r="E116" s="34">
        <f>IF($B116="","",IFERROR(INDEX('ACCOUNT MAP'!$C$6:$C$44,MATCH($B116,'ACCOUNT MAP'!$A$6:$A$44,0)),"! UNMAPPED ACCOUNT"))</f>
        <v/>
      </c>
      <c r="F116" s="21" t="inlineStr">
        <is>
          <t>Client payment received</t>
        </is>
      </c>
      <c r="G116" s="34">
        <f>IF($F116="","",IFERROR(INDEX(CATEGORIES!$C$5:$C$49,MATCH($F116,CATEGORIES!$B$5:$B$49,0)),"! UNKNOWN CATEGORY"))</f>
        <v/>
      </c>
      <c r="H116" s="21" t="n"/>
      <c r="I116" s="33" t="n">
        <v>25</v>
      </c>
      <c r="J116" s="35">
        <f>IF($A116="","",YEAR($A116)*100+MONTH($A116))</f>
        <v/>
      </c>
      <c r="K116" s="21" t="inlineStr"/>
    </row>
    <row r="117">
      <c r="A117" s="32" t="n">
        <v>46161</v>
      </c>
      <c r="B117" s="21" t="inlineStr">
        <is>
          <t>EQ - Sole Prop Chequing</t>
        </is>
      </c>
      <c r="C117" s="21" t="inlineStr">
        <is>
          <t>Interac e-Transfer sent to Canadian Tire Bank</t>
        </is>
      </c>
      <c r="D117" s="33" t="n">
        <v>-3000</v>
      </c>
      <c r="E117" s="34">
        <f>IF($B117="","",IFERROR(INDEX('ACCOUNT MAP'!$C$6:$C$44,MATCH($B117,'ACCOUNT MAP'!$A$6:$A$44,0)),"! UNMAPPED ACCOUNT"))</f>
        <v/>
      </c>
      <c r="F117" s="21" t="inlineStr">
        <is>
          <t>! UNCLEAR - NEEDS REVIEW</t>
        </is>
      </c>
      <c r="G117" s="34">
        <f>IF($F117="","",IFERROR(INDEX(CATEGORIES!$C$5:$C$49,MATCH($F117,CATEGORIES!$B$5:$B$49,0)),"! UNKNOWN CATEGORY"))</f>
        <v/>
      </c>
      <c r="H117" s="21" t="n"/>
      <c r="I117" s="33" t="n"/>
      <c r="J117" s="35">
        <f>IF($A117="","",YEAR($A117)*100+MONTH($A117))</f>
        <v/>
      </c>
      <c r="K117" s="21" t="inlineStr">
        <is>
          <t>Credit card payment — Canadian Tire Bank</t>
        </is>
      </c>
    </row>
    <row r="118">
      <c r="A118" s="32" t="n">
        <v>46161</v>
      </c>
      <c r="B118" s="21" t="inlineStr">
        <is>
          <t>EQ - Sole Prop Chequing</t>
        </is>
      </c>
      <c r="C118" s="21" t="inlineStr">
        <is>
          <t>Interac e-Transfer sent to Canopyco</t>
        </is>
      </c>
      <c r="D118" s="33" t="n">
        <v>-10000</v>
      </c>
      <c r="E118" s="34">
        <f>IF($B118="","",IFERROR(INDEX('ACCOUNT MAP'!$C$6:$C$44,MATCH($B118,'ACCOUNT MAP'!$A$6:$A$44,0)),"! UNMAPPED ACCOUNT"))</f>
        <v/>
      </c>
      <c r="F118" s="21" t="inlineStr">
        <is>
          <t>! UNCLEAR - NEEDS REVIEW</t>
        </is>
      </c>
      <c r="G118" s="34">
        <f>IF($F118="","",IFERROR(INDEX(CATEGORIES!$C$5:$C$49,MATCH($F118,CATEGORIES!$B$5:$B$49,0)),"! UNKNOWN CATEGORY"))</f>
        <v/>
      </c>
      <c r="H118" s="21" t="n"/>
      <c r="I118" s="33" t="n"/>
      <c r="J118" s="35">
        <f>IF($A118="","",YEAR($A118)*100+MONTH($A118))</f>
        <v/>
      </c>
      <c r="K118" s="21" t="inlineStr">
        <is>
          <t>? Canopyco — UNIDENTIFIED</t>
        </is>
      </c>
    </row>
    <row r="119">
      <c r="A119" s="32" t="n">
        <v>46161</v>
      </c>
      <c r="B119" s="21" t="inlineStr">
        <is>
          <t>EQ - Sole Prop Chequing</t>
        </is>
      </c>
      <c r="C119" s="21" t="inlineStr">
        <is>
          <t>Interac e-Transfer sent to Canopyco</t>
        </is>
      </c>
      <c r="D119" s="33" t="n">
        <v>10000</v>
      </c>
      <c r="E119" s="34">
        <f>IF($B119="","",IFERROR(INDEX('ACCOUNT MAP'!$C$6:$C$44,MATCH($B119,'ACCOUNT MAP'!$A$6:$A$44,0)),"! UNMAPPED ACCOUNT"))</f>
        <v/>
      </c>
      <c r="F119" s="21" t="inlineStr">
        <is>
          <t>! UNCLEAR - NEEDS REVIEW</t>
        </is>
      </c>
      <c r="G119" s="34">
        <f>IF($F119="","",IFERROR(INDEX(CATEGORIES!$C$5:$C$49,MATCH($F119,CATEGORIES!$B$5:$B$49,0)),"! UNKNOWN CATEGORY"))</f>
        <v/>
      </c>
      <c r="H119" s="21" t="n"/>
      <c r="I119" s="33" t="n"/>
      <c r="J119" s="35">
        <f>IF($A119="","",YEAR($A119)*100+MONTH($A119))</f>
        <v/>
      </c>
      <c r="K119" s="21" t="inlineStr">
        <is>
          <t>? Canopyco — UNIDENTIFIED</t>
        </is>
      </c>
    </row>
    <row r="120">
      <c r="A120" s="32" t="n">
        <v>46161</v>
      </c>
      <c r="B120" s="21" t="inlineStr">
        <is>
          <t>EQ - Sole Prop Chequing</t>
        </is>
      </c>
      <c r="C120" s="21" t="inlineStr">
        <is>
          <t>Interac e-Transfer sent to Canopyco</t>
        </is>
      </c>
      <c r="D120" s="33" t="n">
        <v>-10000</v>
      </c>
      <c r="E120" s="34">
        <f>IF($B120="","",IFERROR(INDEX('ACCOUNT MAP'!$C$6:$C$44,MATCH($B120,'ACCOUNT MAP'!$A$6:$A$44,0)),"! UNMAPPED ACCOUNT"))</f>
        <v/>
      </c>
      <c r="F120" s="21" t="inlineStr">
        <is>
          <t>! UNCLEAR - NEEDS REVIEW</t>
        </is>
      </c>
      <c r="G120" s="34">
        <f>IF($F120="","",IFERROR(INDEX(CATEGORIES!$C$5:$C$49,MATCH($F120,CATEGORIES!$B$5:$B$49,0)),"! UNKNOWN CATEGORY"))</f>
        <v/>
      </c>
      <c r="H120" s="21" t="n"/>
      <c r="I120" s="33" t="n"/>
      <c r="J120" s="35">
        <f>IF($A120="","",YEAR($A120)*100+MONTH($A120))</f>
        <v/>
      </c>
      <c r="K120" s="21" t="inlineStr">
        <is>
          <t>? Canopyco — UNIDENTIFIED</t>
        </is>
      </c>
    </row>
    <row r="121">
      <c r="A121" s="32" t="n">
        <v>46161</v>
      </c>
      <c r="B121" s="21" t="inlineStr">
        <is>
          <t>EQ - Sole Prop Chequing</t>
        </is>
      </c>
      <c r="C121" s="21" t="inlineStr">
        <is>
          <t>Interac e-Transfer sent to Canopyco</t>
        </is>
      </c>
      <c r="D121" s="33" t="n">
        <v>10000</v>
      </c>
      <c r="E121" s="34">
        <f>IF($B121="","",IFERROR(INDEX('ACCOUNT MAP'!$C$6:$C$44,MATCH($B121,'ACCOUNT MAP'!$A$6:$A$44,0)),"! UNMAPPED ACCOUNT"))</f>
        <v/>
      </c>
      <c r="F121" s="21" t="inlineStr">
        <is>
          <t>! UNCLEAR - NEEDS REVIEW</t>
        </is>
      </c>
      <c r="G121" s="34">
        <f>IF($F121="","",IFERROR(INDEX(CATEGORIES!$C$5:$C$49,MATCH($F121,CATEGORIES!$B$5:$B$49,0)),"! UNKNOWN CATEGORY"))</f>
        <v/>
      </c>
      <c r="H121" s="21" t="n"/>
      <c r="I121" s="33" t="n"/>
      <c r="J121" s="35">
        <f>IF($A121="","",YEAR($A121)*100+MONTH($A121))</f>
        <v/>
      </c>
      <c r="K121" s="21" t="inlineStr">
        <is>
          <t>? Canopyco — UNIDENTIFIED</t>
        </is>
      </c>
    </row>
    <row r="122">
      <c r="A122" s="32" t="n">
        <v>46161</v>
      </c>
      <c r="B122" s="21" t="inlineStr">
        <is>
          <t>EQ - Sole Prop Chequing</t>
        </is>
      </c>
      <c r="C122" s="21" t="inlineStr">
        <is>
          <t>Auto-withdrawal by Gore Mutual</t>
        </is>
      </c>
      <c r="D122" s="33" t="n">
        <v>-93.62</v>
      </c>
      <c r="E122" s="34">
        <f>IF($B122="","",IFERROR(INDEX('ACCOUNT MAP'!$C$6:$C$44,MATCH($B122,'ACCOUNT MAP'!$A$6:$A$44,0)),"! UNMAPPED ACCOUNT"))</f>
        <v/>
      </c>
      <c r="F122" s="21" t="inlineStr">
        <is>
          <t>Liability insurance</t>
        </is>
      </c>
      <c r="G122" s="34">
        <f>IF($F122="","",IFERROR(INDEX(CATEGORIES!$C$5:$C$49,MATCH($F122,CATEGORIES!$B$5:$B$49,0)),"! UNKNOWN CATEGORY"))</f>
        <v/>
      </c>
      <c r="H122" s="21" t="n"/>
      <c r="I122" s="33" t="n"/>
      <c r="J122" s="35">
        <f>IF($A122="","",YEAR($A122)*100+MONTH($A122))</f>
        <v/>
      </c>
      <c r="K122" s="21" t="inlineStr"/>
    </row>
    <row r="123">
      <c r="A123" s="32" t="n">
        <v>46161</v>
      </c>
      <c r="B123" s="21" t="inlineStr">
        <is>
          <t>EQ - Sole Prop Chequing</t>
        </is>
      </c>
      <c r="C123" s="21" t="inlineStr">
        <is>
          <t>Auto-withdrawal by AMEX BILL PYMT</t>
        </is>
      </c>
      <c r="D123" s="33" t="n">
        <v>-3765.18</v>
      </c>
      <c r="E123" s="34">
        <f>IF($B123="","",IFERROR(INDEX('ACCOUNT MAP'!$C$6:$C$44,MATCH($B123,'ACCOUNT MAP'!$A$6:$A$44,0)),"! UNMAPPED ACCOUNT"))</f>
        <v/>
      </c>
      <c r="F123" s="21" t="inlineStr">
        <is>
          <t>! UNCLEAR - NEEDS REVIEW</t>
        </is>
      </c>
      <c r="G123" s="34">
        <f>IF($F123="","",IFERROR(INDEX(CATEGORIES!$C$5:$C$49,MATCH($F123,CATEGORIES!$B$5:$B$49,0)),"! UNKNOWN CATEGORY"))</f>
        <v/>
      </c>
      <c r="H123" s="21" t="n"/>
      <c r="I123" s="33" t="n"/>
      <c r="J123" s="35">
        <f>IF($A123="","",YEAR($A123)*100+MONTH($A123))</f>
        <v/>
      </c>
      <c r="K123" s="21" t="inlineStr">
        <is>
          <t>Credit card payment — AMEX BILL PYMT</t>
        </is>
      </c>
    </row>
    <row r="124">
      <c r="A124" s="32" t="n">
        <v>46164</v>
      </c>
      <c r="B124" s="21" t="inlineStr">
        <is>
          <t>EQ - Sole Prop Chequing</t>
        </is>
      </c>
      <c r="C124" s="21" t="inlineStr">
        <is>
          <t>Interac e-Transfer sent to Canopyco</t>
        </is>
      </c>
      <c r="D124" s="33" t="n">
        <v>-10000</v>
      </c>
      <c r="E124" s="34">
        <f>IF($B124="","",IFERROR(INDEX('ACCOUNT MAP'!$C$6:$C$44,MATCH($B124,'ACCOUNT MAP'!$A$6:$A$44,0)),"! UNMAPPED ACCOUNT"))</f>
        <v/>
      </c>
      <c r="F124" s="21" t="inlineStr">
        <is>
          <t>! UNCLEAR - NEEDS REVIEW</t>
        </is>
      </c>
      <c r="G124" s="34">
        <f>IF($F124="","",IFERROR(INDEX(CATEGORIES!$C$5:$C$49,MATCH($F124,CATEGORIES!$B$5:$B$49,0)),"! UNKNOWN CATEGORY"))</f>
        <v/>
      </c>
      <c r="H124" s="21" t="n"/>
      <c r="I124" s="33" t="n"/>
      <c r="J124" s="35">
        <f>IF($A124="","",YEAR($A124)*100+MONTH($A124))</f>
        <v/>
      </c>
      <c r="K124" s="21" t="inlineStr">
        <is>
          <t>? Canopyco — UNIDENTIFIED</t>
        </is>
      </c>
    </row>
    <row r="125">
      <c r="A125" s="32" t="n">
        <v>46167</v>
      </c>
      <c r="B125" s="21" t="inlineStr">
        <is>
          <t>EQ - Sole Prop Chequing</t>
        </is>
      </c>
      <c r="C125" s="21" t="inlineStr">
        <is>
          <t>Interac e-Transfer sent to Booker, Daniel</t>
        </is>
      </c>
      <c r="D125" s="33" t="n">
        <v>-1825.61</v>
      </c>
      <c r="E125" s="34">
        <f>IF($B125="","",IFERROR(INDEX('ACCOUNT MAP'!$C$6:$C$44,MATCH($B125,'ACCOUNT MAP'!$A$6:$A$44,0)),"! UNMAPPED ACCOUNT"))</f>
        <v/>
      </c>
      <c r="F125" s="21" t="inlineStr">
        <is>
          <t>! UNCLEAR - NEEDS REVIEW</t>
        </is>
      </c>
      <c r="G125" s="34">
        <f>IF($F125="","",IFERROR(INDEX(CATEGORIES!$C$5:$C$49,MATCH($F125,CATEGORIES!$B$5:$B$49,0)),"! UNKNOWN CATEGORY"))</f>
        <v/>
      </c>
      <c r="H125" s="21" t="n"/>
      <c r="I125" s="33" t="n"/>
      <c r="J125" s="35">
        <f>IF($A125="","",YEAR($A125)*100+MONTH($A125))</f>
        <v/>
      </c>
      <c r="K125" s="21" t="inlineStr">
        <is>
          <t>? Booker, Daniel — UNIDENTIFIED</t>
        </is>
      </c>
    </row>
    <row r="126">
      <c r="A126" s="32" t="n">
        <v>46167</v>
      </c>
      <c r="B126" s="21" t="inlineStr">
        <is>
          <t>EQ - Sole Prop Chequing</t>
        </is>
      </c>
      <c r="C126" s="21" t="inlineStr">
        <is>
          <t>Interac e-Transfer sent to Kierran Kivinen</t>
        </is>
      </c>
      <c r="D126" s="33" t="n">
        <v>-1366.69</v>
      </c>
      <c r="E126" s="34">
        <f>IF($B126="","",IFERROR(INDEX('ACCOUNT MAP'!$C$6:$C$44,MATCH($B126,'ACCOUNT MAP'!$A$6:$A$44,0)),"! UNMAPPED ACCOUNT"))</f>
        <v/>
      </c>
      <c r="F126" s="21" t="inlineStr">
        <is>
          <t>Crew wages (net pay out)</t>
        </is>
      </c>
      <c r="G126" s="34">
        <f>IF($F126="","",IFERROR(INDEX(CATEGORIES!$C$5:$C$49,MATCH($F126,CATEGORIES!$B$5:$B$49,0)),"! UNKNOWN CATEGORY"))</f>
        <v/>
      </c>
      <c r="H126" s="21" t="n"/>
      <c r="I126" s="33" t="n"/>
      <c r="J126" s="35">
        <f>IF($A126="","",YEAR($A126)*100+MONTH($A126))</f>
        <v/>
      </c>
      <c r="K126" s="21" t="inlineStr"/>
    </row>
    <row r="127">
      <c r="A127" s="32" t="n">
        <v>46167</v>
      </c>
      <c r="B127" s="21" t="inlineStr">
        <is>
          <t>EQ - Sole Prop Chequing</t>
        </is>
      </c>
      <c r="C127" s="21" t="inlineStr">
        <is>
          <t>Interac e-Transfer sent to Booker, Daniel</t>
        </is>
      </c>
      <c r="D127" s="33" t="n">
        <v>-81.42</v>
      </c>
      <c r="E127" s="34">
        <f>IF($B127="","",IFERROR(INDEX('ACCOUNT MAP'!$C$6:$C$44,MATCH($B127,'ACCOUNT MAP'!$A$6:$A$44,0)),"! UNMAPPED ACCOUNT"))</f>
        <v/>
      </c>
      <c r="F127" s="21" t="inlineStr">
        <is>
          <t>! UNCLEAR - NEEDS REVIEW</t>
        </is>
      </c>
      <c r="G127" s="34">
        <f>IF($F127="","",IFERROR(INDEX(CATEGORIES!$C$5:$C$49,MATCH($F127,CATEGORIES!$B$5:$B$49,0)),"! UNKNOWN CATEGORY"))</f>
        <v/>
      </c>
      <c r="H127" s="21" t="n"/>
      <c r="I127" s="33" t="n"/>
      <c r="J127" s="35">
        <f>IF($A127="","",YEAR($A127)*100+MONTH($A127))</f>
        <v/>
      </c>
      <c r="K127" s="21" t="inlineStr">
        <is>
          <t>? Booker, Daniel — UNIDENTIFIED</t>
        </is>
      </c>
    </row>
    <row r="128">
      <c r="A128" s="32" t="n">
        <v>46167</v>
      </c>
      <c r="B128" s="21" t="inlineStr">
        <is>
          <t>EQ - Sole Prop Chequing</t>
        </is>
      </c>
      <c r="C128" s="21" t="inlineStr">
        <is>
          <t>Interac e-Transfer sent to Booker, Daniel</t>
        </is>
      </c>
      <c r="D128" s="33" t="n">
        <v>-17.16</v>
      </c>
      <c r="E128" s="34">
        <f>IF($B128="","",IFERROR(INDEX('ACCOUNT MAP'!$C$6:$C$44,MATCH($B128,'ACCOUNT MAP'!$A$6:$A$44,0)),"! UNMAPPED ACCOUNT"))</f>
        <v/>
      </c>
      <c r="F128" s="21" t="inlineStr">
        <is>
          <t>! UNCLEAR - NEEDS REVIEW</t>
        </is>
      </c>
      <c r="G128" s="34">
        <f>IF($F128="","",IFERROR(INDEX(CATEGORIES!$C$5:$C$49,MATCH($F128,CATEGORIES!$B$5:$B$49,0)),"! UNKNOWN CATEGORY"))</f>
        <v/>
      </c>
      <c r="H128" s="21" t="n"/>
      <c r="I128" s="33" t="n"/>
      <c r="J128" s="35">
        <f>IF($A128="","",YEAR($A128)*100+MONTH($A128))</f>
        <v/>
      </c>
      <c r="K128" s="21" t="inlineStr">
        <is>
          <t>? Booker, Daniel — UNIDENTIFIED</t>
        </is>
      </c>
    </row>
    <row r="129">
      <c r="A129" s="32" t="n">
        <v>46170</v>
      </c>
      <c r="B129" s="21" t="inlineStr">
        <is>
          <t>EQ - Sole Prop Chequing</t>
        </is>
      </c>
      <c r="C129" s="21" t="inlineStr">
        <is>
          <t>Interac e-Transfer sent to Kyle (Personal Account)</t>
        </is>
      </c>
      <c r="D129" s="33" t="n">
        <v>-8000</v>
      </c>
      <c r="E129" s="34">
        <f>IF($B129="","",IFERROR(INDEX('ACCOUNT MAP'!$C$6:$C$44,MATCH($B129,'ACCOUNT MAP'!$A$6:$A$44,0)),"! UNMAPPED ACCOUNT"))</f>
        <v/>
      </c>
      <c r="F129" s="21" t="inlineStr">
        <is>
          <t>Owner draw (sole prop)</t>
        </is>
      </c>
      <c r="G129" s="34">
        <f>IF($F129="","",IFERROR(INDEX(CATEGORIES!$C$5:$C$49,MATCH($F129,CATEGORIES!$B$5:$B$49,0)),"! UNKNOWN CATEGORY"))</f>
        <v/>
      </c>
      <c r="H129" s="21" t="n"/>
      <c r="I129" s="33" t="n"/>
      <c r="J129" s="35">
        <f>IF($A129="","",YEAR($A129)*100+MONTH($A129))</f>
        <v/>
      </c>
      <c r="K129" s="21" t="inlineStr"/>
    </row>
    <row r="130">
      <c r="A130" s="32" t="n">
        <v>46170</v>
      </c>
      <c r="B130" s="21" t="inlineStr">
        <is>
          <t>EQ - Sole Prop Chequing</t>
        </is>
      </c>
      <c r="C130" s="21" t="inlineStr">
        <is>
          <t>Interac e-Transfer received from  Ramsay P Attisha</t>
        </is>
      </c>
      <c r="D130" s="33" t="n">
        <v>1200</v>
      </c>
      <c r="E130" s="34">
        <f>IF($B130="","",IFERROR(INDEX('ACCOUNT MAP'!$C$6:$C$44,MATCH($B130,'ACCOUNT MAP'!$A$6:$A$44,0)),"! UNMAPPED ACCOUNT"))</f>
        <v/>
      </c>
      <c r="F130" s="21" t="inlineStr">
        <is>
          <t>Client payment received</t>
        </is>
      </c>
      <c r="G130" s="34">
        <f>IF($F130="","",IFERROR(INDEX(CATEGORIES!$C$5:$C$49,MATCH($F130,CATEGORIES!$B$5:$B$49,0)),"! UNKNOWN CATEGORY"))</f>
        <v/>
      </c>
      <c r="H130" s="21" t="n"/>
      <c r="I130" s="33" t="n">
        <v>57.14</v>
      </c>
      <c r="J130" s="35">
        <f>IF($A130="","",YEAR($A130)*100+MONTH($A130))</f>
        <v/>
      </c>
      <c r="K130" s="21" t="inlineStr"/>
    </row>
    <row r="131">
      <c r="A131" s="32" t="n">
        <v>46171</v>
      </c>
      <c r="B131" s="21" t="inlineStr">
        <is>
          <t>EQ - Sole Prop Chequing</t>
        </is>
      </c>
      <c r="C131" s="21" t="inlineStr">
        <is>
          <t>Interac e-Transfer received from ANITA FLEICE</t>
        </is>
      </c>
      <c r="D131" s="33" t="n">
        <v>2239.41</v>
      </c>
      <c r="E131" s="34">
        <f>IF($B131="","",IFERROR(INDEX('ACCOUNT MAP'!$C$6:$C$44,MATCH($B131,'ACCOUNT MAP'!$A$6:$A$44,0)),"! UNMAPPED ACCOUNT"))</f>
        <v/>
      </c>
      <c r="F131" s="21" t="inlineStr">
        <is>
          <t>Client payment received</t>
        </is>
      </c>
      <c r="G131" s="34">
        <f>IF($F131="","",IFERROR(INDEX(CATEGORIES!$C$5:$C$49,MATCH($F131,CATEGORIES!$B$5:$B$49,0)),"! UNKNOWN CATEGORY"))</f>
        <v/>
      </c>
      <c r="H131" s="21" t="n"/>
      <c r="I131" s="33" t="n">
        <v>106.64</v>
      </c>
      <c r="J131" s="35">
        <f>IF($A131="","",YEAR($A131)*100+MONTH($A131))</f>
        <v/>
      </c>
      <c r="K131" s="21" t="inlineStr"/>
    </row>
    <row r="132">
      <c r="A132" s="32" t="n">
        <v>46172</v>
      </c>
      <c r="B132" s="21" t="inlineStr">
        <is>
          <t>EQ - Sole Prop Chequing</t>
        </is>
      </c>
      <c r="C132" s="21" t="inlineStr">
        <is>
          <t>Interac e-Transfer received from  MCCAHILL &amp; CO.</t>
        </is>
      </c>
      <c r="D132" s="33" t="n">
        <v>15000</v>
      </c>
      <c r="E132" s="34">
        <f>IF($B132="","",IFERROR(INDEX('ACCOUNT MAP'!$C$6:$C$44,MATCH($B132,'ACCOUNT MAP'!$A$6:$A$44,0)),"! UNMAPPED ACCOUNT"))</f>
        <v/>
      </c>
      <c r="F132" s="21" t="inlineStr">
        <is>
          <t>! UNCLEAR - NEEDS REVIEW</t>
        </is>
      </c>
      <c r="G132" s="34">
        <f>IF($F132="","",IFERROR(INDEX(CATEGORIES!$C$5:$C$49,MATCH($F132,CATEGORIES!$B$5:$B$49,0)),"! UNKNOWN CATEGORY"))</f>
        <v/>
      </c>
      <c r="H132" s="21" t="n"/>
      <c r="I132" s="33" t="n"/>
      <c r="J132" s="35">
        <f>IF($A132="","",YEAR($A132)*100+MONTH($A132))</f>
        <v/>
      </c>
      <c r="K132" s="21" t="inlineStr">
        <is>
          <t>? McCahill &amp; Co. inbound — UNIDENTIFIED</t>
        </is>
      </c>
    </row>
    <row r="133">
      <c r="A133" s="32" t="n">
        <v>46172</v>
      </c>
      <c r="B133" s="21" t="inlineStr">
        <is>
          <t>EQ - Sole Prop Chequing</t>
        </is>
      </c>
      <c r="C133" s="21" t="inlineStr">
        <is>
          <t>Mobile cheque deposit</t>
        </is>
      </c>
      <c r="D133" s="33" t="n">
        <v>312</v>
      </c>
      <c r="E133" s="34">
        <f>IF($B133="","",IFERROR(INDEX('ACCOUNT MAP'!$C$6:$C$44,MATCH($B133,'ACCOUNT MAP'!$A$6:$A$44,0)),"! UNMAPPED ACCOUNT"))</f>
        <v/>
      </c>
      <c r="F133" s="21" t="inlineStr">
        <is>
          <t>Client payment received</t>
        </is>
      </c>
      <c r="G133" s="34">
        <f>IF($F133="","",IFERROR(INDEX(CATEGORIES!$C$5:$C$49,MATCH($F133,CATEGORIES!$B$5:$B$49,0)),"! UNKNOWN CATEGORY"))</f>
        <v/>
      </c>
      <c r="H133" s="21" t="n"/>
      <c r="I133" s="33" t="n">
        <v>14.86</v>
      </c>
      <c r="J133" s="35">
        <f>IF($A133="","",YEAR($A133)*100+MONTH($A133))</f>
        <v/>
      </c>
      <c r="K133" s="21" t="inlineStr"/>
    </row>
    <row r="134">
      <c r="A134" s="32" t="n">
        <v>46173</v>
      </c>
      <c r="B134" s="21" t="inlineStr">
        <is>
          <t>EQ - Sole Prop Chequing</t>
        </is>
      </c>
      <c r="C134" s="21" t="inlineStr">
        <is>
          <t>Interac e-Transfer received from  MCCAHILL &amp; CO.</t>
        </is>
      </c>
      <c r="D134" s="33" t="n">
        <v>2664</v>
      </c>
      <c r="E134" s="34">
        <f>IF($B134="","",IFERROR(INDEX('ACCOUNT MAP'!$C$6:$C$44,MATCH($B134,'ACCOUNT MAP'!$A$6:$A$44,0)),"! UNMAPPED ACCOUNT"))</f>
        <v/>
      </c>
      <c r="F134" s="21" t="inlineStr">
        <is>
          <t>! UNCLEAR - NEEDS REVIEW</t>
        </is>
      </c>
      <c r="G134" s="34">
        <f>IF($F134="","",IFERROR(INDEX(CATEGORIES!$C$5:$C$49,MATCH($F134,CATEGORIES!$B$5:$B$49,0)),"! UNKNOWN CATEGORY"))</f>
        <v/>
      </c>
      <c r="H134" s="21" t="n"/>
      <c r="I134" s="33" t="n"/>
      <c r="J134" s="35">
        <f>IF($A134="","",YEAR($A134)*100+MONTH($A134))</f>
        <v/>
      </c>
      <c r="K134" s="21" t="inlineStr">
        <is>
          <t>? McCahill &amp; Co. inbound — UNIDENTIFIED</t>
        </is>
      </c>
    </row>
    <row r="135">
      <c r="A135" s="32" t="n">
        <v>46173</v>
      </c>
      <c r="B135" s="21" t="inlineStr">
        <is>
          <t>EQ - Sole Prop Chequing</t>
        </is>
      </c>
      <c r="C135" s="21" t="inlineStr">
        <is>
          <t>Interest received</t>
        </is>
      </c>
      <c r="D135" s="33" t="n">
        <v>177.93</v>
      </c>
      <c r="E135" s="34">
        <f>IF($B135="","",IFERROR(INDEX('ACCOUNT MAP'!$C$6:$C$44,MATCH($B135,'ACCOUNT MAP'!$A$6:$A$44,0)),"! UNMAPPED ACCOUNT"))</f>
        <v/>
      </c>
      <c r="F135" s="21" t="inlineStr">
        <is>
          <t>Other business income</t>
        </is>
      </c>
      <c r="G135" s="34">
        <f>IF($F135="","",IFERROR(INDEX(CATEGORIES!$C$5:$C$49,MATCH($F135,CATEGORIES!$B$5:$B$49,0)),"! UNKNOWN CATEGORY"))</f>
        <v/>
      </c>
      <c r="H135" s="21" t="n"/>
      <c r="I135" s="33" t="n"/>
      <c r="J135" s="35">
        <f>IF($A135="","",YEAR($A135)*100+MONTH($A135))</f>
        <v/>
      </c>
      <c r="K135" s="21" t="inlineStr"/>
    </row>
    <row r="136">
      <c r="A136" s="32" t="n">
        <v>46175</v>
      </c>
      <c r="B136" s="21" t="inlineStr">
        <is>
          <t>EQ - Sole Prop Chequing</t>
        </is>
      </c>
      <c r="C136" s="21" t="inlineStr">
        <is>
          <t>Interac e-Transfer received from  DAVID C NEWSOME</t>
        </is>
      </c>
      <c r="D136" s="33" t="n">
        <v>861</v>
      </c>
      <c r="E136" s="34">
        <f>IF($B136="","",IFERROR(INDEX('ACCOUNT MAP'!$C$6:$C$44,MATCH($B136,'ACCOUNT MAP'!$A$6:$A$44,0)),"! UNMAPPED ACCOUNT"))</f>
        <v/>
      </c>
      <c r="F136" s="21" t="inlineStr">
        <is>
          <t>Client payment received</t>
        </is>
      </c>
      <c r="G136" s="34">
        <f>IF($F136="","",IFERROR(INDEX(CATEGORIES!$C$5:$C$49,MATCH($F136,CATEGORIES!$B$5:$B$49,0)),"! UNKNOWN CATEGORY"))</f>
        <v/>
      </c>
      <c r="H136" s="21" t="n"/>
      <c r="I136" s="33" t="n">
        <v>41</v>
      </c>
      <c r="J136" s="35">
        <f>IF($A136="","",YEAR($A136)*100+MONTH($A136))</f>
        <v/>
      </c>
      <c r="K136" s="21" t="inlineStr"/>
    </row>
    <row r="137">
      <c r="A137" s="32" t="n">
        <v>46177</v>
      </c>
      <c r="B137" s="21" t="inlineStr">
        <is>
          <t>EQ - Sole Prop Chequing</t>
        </is>
      </c>
      <c r="C137" s="21" t="inlineStr">
        <is>
          <t>Interac e-Transfer received from  WEI ZHAO</t>
        </is>
      </c>
      <c r="D137" s="33" t="n">
        <v>189</v>
      </c>
      <c r="E137" s="34">
        <f>IF($B137="","",IFERROR(INDEX('ACCOUNT MAP'!$C$6:$C$44,MATCH($B137,'ACCOUNT MAP'!$A$6:$A$44,0)),"! UNMAPPED ACCOUNT"))</f>
        <v/>
      </c>
      <c r="F137" s="21" t="inlineStr">
        <is>
          <t>Client payment received</t>
        </is>
      </c>
      <c r="G137" s="34">
        <f>IF($F137="","",IFERROR(INDEX(CATEGORIES!$C$5:$C$49,MATCH($F137,CATEGORIES!$B$5:$B$49,0)),"! UNKNOWN CATEGORY"))</f>
        <v/>
      </c>
      <c r="H137" s="21" t="n"/>
      <c r="I137" s="33" t="n">
        <v>9</v>
      </c>
      <c r="J137" s="35">
        <f>IF($A137="","",YEAR($A137)*100+MONTH($A137))</f>
        <v/>
      </c>
      <c r="K137" s="21" t="inlineStr"/>
    </row>
    <row r="138">
      <c r="A138" s="32" t="n">
        <v>46177</v>
      </c>
      <c r="B138" s="21" t="inlineStr">
        <is>
          <t>EQ - Sole Prop Chequing</t>
        </is>
      </c>
      <c r="C138" s="21" t="inlineStr">
        <is>
          <t>Interac e-Transfer received from  BEVERLY DEVRIES</t>
        </is>
      </c>
      <c r="D138" s="33" t="n">
        <v>420</v>
      </c>
      <c r="E138" s="34">
        <f>IF($B138="","",IFERROR(INDEX('ACCOUNT MAP'!$C$6:$C$44,MATCH($B138,'ACCOUNT MAP'!$A$6:$A$44,0)),"! UNMAPPED ACCOUNT"))</f>
        <v/>
      </c>
      <c r="F138" s="21" t="inlineStr">
        <is>
          <t>Client payment received</t>
        </is>
      </c>
      <c r="G138" s="34">
        <f>IF($F138="","",IFERROR(INDEX(CATEGORIES!$C$5:$C$49,MATCH($F138,CATEGORIES!$B$5:$B$49,0)),"! UNKNOWN CATEGORY"))</f>
        <v/>
      </c>
      <c r="H138" s="21" t="n"/>
      <c r="I138" s="33" t="n">
        <v>20</v>
      </c>
      <c r="J138" s="35">
        <f>IF($A138="","",YEAR($A138)*100+MONTH($A138))</f>
        <v/>
      </c>
      <c r="K138" s="21" t="inlineStr"/>
    </row>
    <row r="139">
      <c r="A139" s="32" t="n">
        <v>46178</v>
      </c>
      <c r="B139" s="21" t="inlineStr">
        <is>
          <t>EQ - Sole Prop Chequing</t>
        </is>
      </c>
      <c r="C139" s="21" t="inlineStr">
        <is>
          <t>Interac e-Transfer sent to Michelle</t>
        </is>
      </c>
      <c r="D139" s="33" t="n">
        <v>-10000</v>
      </c>
      <c r="E139" s="34">
        <f>IF($B139="","",IFERROR(INDEX('ACCOUNT MAP'!$C$6:$C$44,MATCH($B139,'ACCOUNT MAP'!$A$6:$A$44,0)),"! UNMAPPED ACCOUNT"))</f>
        <v/>
      </c>
      <c r="F139" s="21" t="inlineStr">
        <is>
          <t>! UNCLEAR - NEEDS REVIEW</t>
        </is>
      </c>
      <c r="G139" s="34">
        <f>IF($F139="","",IFERROR(INDEX(CATEGORIES!$C$5:$C$49,MATCH($F139,CATEGORIES!$B$5:$B$49,0)),"! UNKNOWN CATEGORY"))</f>
        <v/>
      </c>
      <c r="H139" s="21" t="n"/>
      <c r="I139" s="33" t="n"/>
      <c r="J139" s="35">
        <f>IF($A139="","",YEAR($A139)*100+MONTH($A139))</f>
        <v/>
      </c>
      <c r="K139" s="21" t="inlineStr">
        <is>
          <t>? Crew or sub — Michelle</t>
        </is>
      </c>
    </row>
    <row r="140">
      <c r="A140" s="32" t="n">
        <v>46178</v>
      </c>
      <c r="B140" s="21" t="inlineStr">
        <is>
          <t>EQ - Sole Prop Chequing</t>
        </is>
      </c>
      <c r="C140" s="21" t="inlineStr">
        <is>
          <t>Interac e-Transfer cancelled Michelle</t>
        </is>
      </c>
      <c r="D140" s="33" t="n">
        <v>10000</v>
      </c>
      <c r="E140" s="34">
        <f>IF($B140="","",IFERROR(INDEX('ACCOUNT MAP'!$C$6:$C$44,MATCH($B140,'ACCOUNT MAP'!$A$6:$A$44,0)),"! UNMAPPED ACCOUNT"))</f>
        <v/>
      </c>
      <c r="F140" s="21" t="inlineStr">
        <is>
          <t>! UNCLEAR - NEEDS REVIEW</t>
        </is>
      </c>
      <c r="G140" s="34">
        <f>IF($F140="","",IFERROR(INDEX(CATEGORIES!$C$5:$C$49,MATCH($F140,CATEGORIES!$B$5:$B$49,0)),"! UNKNOWN CATEGORY"))</f>
        <v/>
      </c>
      <c r="H140" s="21" t="n"/>
      <c r="I140" s="33" t="n"/>
      <c r="J140" s="35">
        <f>IF($A140="","",YEAR($A140)*100+MONTH($A140))</f>
        <v/>
      </c>
      <c r="K140" s="21" t="inlineStr">
        <is>
          <t>? Crew or sub — Michelle</t>
        </is>
      </c>
    </row>
    <row r="141">
      <c r="A141" s="32" t="n">
        <v>46178</v>
      </c>
      <c r="B141" s="21" t="inlineStr">
        <is>
          <t>EQ - Sole Prop Chequing</t>
        </is>
      </c>
      <c r="C141" s="21" t="inlineStr">
        <is>
          <t>Interac e-Transfer sent to Ryan Roberts (Personal Ac</t>
        </is>
      </c>
      <c r="D141" s="33" t="n">
        <v>-10000</v>
      </c>
      <c r="E141" s="34">
        <f>IF($B141="","",IFERROR(INDEX('ACCOUNT MAP'!$C$6:$C$44,MATCH($B141,'ACCOUNT MAP'!$A$6:$A$44,0)),"! UNMAPPED ACCOUNT"))</f>
        <v/>
      </c>
      <c r="F141" s="21" t="inlineStr">
        <is>
          <t>! UNCLEAR - NEEDS REVIEW</t>
        </is>
      </c>
      <c r="G141" s="34">
        <f>IF($F141="","",IFERROR(INDEX(CATEGORIES!$C$5:$C$49,MATCH($F141,CATEGORIES!$B$5:$B$49,0)),"! UNKNOWN CATEGORY"))</f>
        <v/>
      </c>
      <c r="H141" s="21" t="n"/>
      <c r="I141" s="33" t="n"/>
      <c r="J141" s="35">
        <f>IF($A141="","",YEAR($A141)*100+MONTH($A141))</f>
        <v/>
      </c>
      <c r="K141" s="21" t="inlineStr">
        <is>
          <t>? Ryan Roberts — UNIDENTIFIED</t>
        </is>
      </c>
    </row>
    <row r="142">
      <c r="A142" s="32" t="n">
        <v>46178</v>
      </c>
      <c r="B142" s="21" t="inlineStr">
        <is>
          <t>EQ - Sole Prop Chequing</t>
        </is>
      </c>
      <c r="C142" s="21" t="inlineStr">
        <is>
          <t>Mobile cheque deposit</t>
        </is>
      </c>
      <c r="D142" s="33" t="n">
        <v>1764</v>
      </c>
      <c r="E142" s="34">
        <f>IF($B142="","",IFERROR(INDEX('ACCOUNT MAP'!$C$6:$C$44,MATCH($B142,'ACCOUNT MAP'!$A$6:$A$44,0)),"! UNMAPPED ACCOUNT"))</f>
        <v/>
      </c>
      <c r="F142" s="21" t="inlineStr">
        <is>
          <t>Client payment received</t>
        </is>
      </c>
      <c r="G142" s="34">
        <f>IF($F142="","",IFERROR(INDEX(CATEGORIES!$C$5:$C$49,MATCH($F142,CATEGORIES!$B$5:$B$49,0)),"! UNKNOWN CATEGORY"))</f>
        <v/>
      </c>
      <c r="H142" s="21" t="n"/>
      <c r="I142" s="33" t="n">
        <v>84</v>
      </c>
      <c r="J142" s="35">
        <f>IF($A142="","",YEAR($A142)*100+MONTH($A142))</f>
        <v/>
      </c>
      <c r="K142" s="21" t="inlineStr"/>
    </row>
    <row r="143">
      <c r="A143" s="32" t="n">
        <v>46178</v>
      </c>
      <c r="B143" s="21" t="inlineStr">
        <is>
          <t>EQ - Sole Prop Chequing</t>
        </is>
      </c>
      <c r="C143" s="21" t="inlineStr">
        <is>
          <t>Interac e-Transfer received from  Filomena Giulione</t>
        </is>
      </c>
      <c r="D143" s="33" t="n">
        <v>509.24</v>
      </c>
      <c r="E143" s="34">
        <f>IF($B143="","",IFERROR(INDEX('ACCOUNT MAP'!$C$6:$C$44,MATCH($B143,'ACCOUNT MAP'!$A$6:$A$44,0)),"! UNMAPPED ACCOUNT"))</f>
        <v/>
      </c>
      <c r="F143" s="21" t="inlineStr">
        <is>
          <t>Client payment received</t>
        </is>
      </c>
      <c r="G143" s="34">
        <f>IF($F143="","",IFERROR(INDEX(CATEGORIES!$C$5:$C$49,MATCH($F143,CATEGORIES!$B$5:$B$49,0)),"! UNKNOWN CATEGORY"))</f>
        <v/>
      </c>
      <c r="H143" s="21" t="n"/>
      <c r="I143" s="33" t="n">
        <v>24.25</v>
      </c>
      <c r="J143" s="35">
        <f>IF($A143="","",YEAR($A143)*100+MONTH($A143))</f>
        <v/>
      </c>
      <c r="K143" s="21" t="inlineStr"/>
    </row>
    <row r="144">
      <c r="A144" s="32" t="n">
        <v>46180</v>
      </c>
      <c r="B144" s="21" t="inlineStr">
        <is>
          <t>EQ - Sole Prop Chequing</t>
        </is>
      </c>
      <c r="C144" s="21" t="inlineStr">
        <is>
          <t>Interac e-Transfer sent to Ryan Roberts (Personal Ac</t>
        </is>
      </c>
      <c r="D144" s="33" t="n">
        <v>-10000</v>
      </c>
      <c r="E144" s="34">
        <f>IF($B144="","",IFERROR(INDEX('ACCOUNT MAP'!$C$6:$C$44,MATCH($B144,'ACCOUNT MAP'!$A$6:$A$44,0)),"! UNMAPPED ACCOUNT"))</f>
        <v/>
      </c>
      <c r="F144" s="21" t="inlineStr">
        <is>
          <t>! UNCLEAR - NEEDS REVIEW</t>
        </is>
      </c>
      <c r="G144" s="34">
        <f>IF($F144="","",IFERROR(INDEX(CATEGORIES!$C$5:$C$49,MATCH($F144,CATEGORIES!$B$5:$B$49,0)),"! UNKNOWN CATEGORY"))</f>
        <v/>
      </c>
      <c r="H144" s="21" t="n"/>
      <c r="I144" s="33" t="n"/>
      <c r="J144" s="35">
        <f>IF($A144="","",YEAR($A144)*100+MONTH($A144))</f>
        <v/>
      </c>
      <c r="K144" s="21" t="inlineStr">
        <is>
          <t>? Ryan Roberts — UNIDENTIFIED</t>
        </is>
      </c>
    </row>
    <row r="145">
      <c r="A145" s="32" t="n">
        <v>46180</v>
      </c>
      <c r="B145" s="21" t="inlineStr">
        <is>
          <t>EQ - Sole Prop Chequing</t>
        </is>
      </c>
      <c r="C145" s="21" t="inlineStr">
        <is>
          <t>Interac e-Transfer sent to Ryan Roberts (Personal Ac</t>
        </is>
      </c>
      <c r="D145" s="33" t="n">
        <v>10000</v>
      </c>
      <c r="E145" s="34">
        <f>IF($B145="","",IFERROR(INDEX('ACCOUNT MAP'!$C$6:$C$44,MATCH($B145,'ACCOUNT MAP'!$A$6:$A$44,0)),"! UNMAPPED ACCOUNT"))</f>
        <v/>
      </c>
      <c r="F145" s="21" t="inlineStr">
        <is>
          <t>! UNCLEAR - NEEDS REVIEW</t>
        </is>
      </c>
      <c r="G145" s="34">
        <f>IF($F145="","",IFERROR(INDEX(CATEGORIES!$C$5:$C$49,MATCH($F145,CATEGORIES!$B$5:$B$49,0)),"! UNKNOWN CATEGORY"))</f>
        <v/>
      </c>
      <c r="H145" s="21" t="n"/>
      <c r="I145" s="33" t="n"/>
      <c r="J145" s="35">
        <f>IF($A145="","",YEAR($A145)*100+MONTH($A145))</f>
        <v/>
      </c>
      <c r="K145" s="21" t="inlineStr">
        <is>
          <t>? Ryan Roberts — UNIDENTIFIED</t>
        </is>
      </c>
    </row>
    <row r="146">
      <c r="A146" s="32" t="n">
        <v>46180</v>
      </c>
      <c r="B146" s="21" t="inlineStr">
        <is>
          <t>EQ - Sole Prop Chequing</t>
        </is>
      </c>
      <c r="C146" s="21" t="inlineStr">
        <is>
          <t>Interac e-Transfer received from  Andrei Moldoveanu</t>
        </is>
      </c>
      <c r="D146" s="33" t="n">
        <v>472.5</v>
      </c>
      <c r="E146" s="34">
        <f>IF($B146="","",IFERROR(INDEX('ACCOUNT MAP'!$C$6:$C$44,MATCH($B146,'ACCOUNT MAP'!$A$6:$A$44,0)),"! UNMAPPED ACCOUNT"))</f>
        <v/>
      </c>
      <c r="F146" s="21" t="inlineStr">
        <is>
          <t>Client payment received</t>
        </is>
      </c>
      <c r="G146" s="34">
        <f>IF($F146="","",IFERROR(INDEX(CATEGORIES!$C$5:$C$49,MATCH($F146,CATEGORIES!$B$5:$B$49,0)),"! UNKNOWN CATEGORY"))</f>
        <v/>
      </c>
      <c r="H146" s="21" t="n"/>
      <c r="I146" s="33" t="n">
        <v>22.5</v>
      </c>
      <c r="J146" s="35">
        <f>IF($A146="","",YEAR($A146)*100+MONTH($A146))</f>
        <v/>
      </c>
      <c r="K146" s="21" t="inlineStr"/>
    </row>
    <row r="147">
      <c r="A147" s="32" t="n">
        <v>46181</v>
      </c>
      <c r="B147" s="21" t="inlineStr">
        <is>
          <t>EQ - Sole Prop Chequing</t>
        </is>
      </c>
      <c r="C147" s="21" t="inlineStr">
        <is>
          <t>Interac e-Transfer received from  JUSTIN TSE</t>
        </is>
      </c>
      <c r="D147" s="33" t="n">
        <v>724.5</v>
      </c>
      <c r="E147" s="34">
        <f>IF($B147="","",IFERROR(INDEX('ACCOUNT MAP'!$C$6:$C$44,MATCH($B147,'ACCOUNT MAP'!$A$6:$A$44,0)),"! UNMAPPED ACCOUNT"))</f>
        <v/>
      </c>
      <c r="F147" s="21" t="inlineStr">
        <is>
          <t>Client payment received</t>
        </is>
      </c>
      <c r="G147" s="34">
        <f>IF($F147="","",IFERROR(INDEX(CATEGORIES!$C$5:$C$49,MATCH($F147,CATEGORIES!$B$5:$B$49,0)),"! UNKNOWN CATEGORY"))</f>
        <v/>
      </c>
      <c r="H147" s="21" t="n"/>
      <c r="I147" s="33" t="n">
        <v>34.5</v>
      </c>
      <c r="J147" s="35">
        <f>IF($A147="","",YEAR($A147)*100+MONTH($A147))</f>
        <v/>
      </c>
      <c r="K147" s="21" t="inlineStr"/>
    </row>
    <row r="148">
      <c r="A148" s="32" t="n">
        <v>46181</v>
      </c>
      <c r="B148" s="21" t="inlineStr">
        <is>
          <t>EQ - Sole Prop Chequing</t>
        </is>
      </c>
      <c r="C148" s="21" t="inlineStr">
        <is>
          <t>Interac e-Transfer sent to PND</t>
        </is>
      </c>
      <c r="D148" s="33" t="n">
        <v>-1694</v>
      </c>
      <c r="E148" s="34">
        <f>IF($B148="","",IFERROR(INDEX('ACCOUNT MAP'!$C$6:$C$44,MATCH($B148,'ACCOUNT MAP'!$A$6:$A$44,0)),"! UNMAPPED ACCOUNT"))</f>
        <v/>
      </c>
      <c r="F148" s="21" t="inlineStr">
        <is>
          <t>Materials and plants</t>
        </is>
      </c>
      <c r="G148" s="34">
        <f>IF($F148="","",IFERROR(INDEX(CATEGORIES!$C$5:$C$49,MATCH($F148,CATEGORIES!$B$5:$B$49,0)),"! UNKNOWN CATEGORY"))</f>
        <v/>
      </c>
      <c r="H148" s="21" t="n"/>
      <c r="I148" s="33" t="n"/>
      <c r="J148" s="35">
        <f>IF($A148="","",YEAR($A148)*100+MONTH($A148))</f>
        <v/>
      </c>
      <c r="K148" s="21" t="inlineStr"/>
    </row>
    <row r="149">
      <c r="A149" s="32" t="n">
        <v>46181</v>
      </c>
      <c r="B149" s="21" t="inlineStr">
        <is>
          <t>EQ - Sole Prop Chequing</t>
        </is>
      </c>
      <c r="C149" s="21" t="inlineStr">
        <is>
          <t>Interac e-Transfer sent to Canadian Tire Bank</t>
        </is>
      </c>
      <c r="D149" s="33" t="n">
        <v>-2400</v>
      </c>
      <c r="E149" s="34">
        <f>IF($B149="","",IFERROR(INDEX('ACCOUNT MAP'!$C$6:$C$44,MATCH($B149,'ACCOUNT MAP'!$A$6:$A$44,0)),"! UNMAPPED ACCOUNT"))</f>
        <v/>
      </c>
      <c r="F149" s="21" t="inlineStr">
        <is>
          <t>! UNCLEAR - NEEDS REVIEW</t>
        </is>
      </c>
      <c r="G149" s="34">
        <f>IF($F149="","",IFERROR(INDEX(CATEGORIES!$C$5:$C$49,MATCH($F149,CATEGORIES!$B$5:$B$49,0)),"! UNKNOWN CATEGORY"))</f>
        <v/>
      </c>
      <c r="H149" s="21" t="n"/>
      <c r="I149" s="33" t="n"/>
      <c r="J149" s="35">
        <f>IF($A149="","",YEAR($A149)*100+MONTH($A149))</f>
        <v/>
      </c>
      <c r="K149" s="21" t="inlineStr">
        <is>
          <t>Credit card payment — Canadian Tire Bank</t>
        </is>
      </c>
    </row>
    <row r="150">
      <c r="A150" s="32" t="n">
        <v>46182</v>
      </c>
      <c r="B150" s="21" t="inlineStr">
        <is>
          <t>EQ - Sole Prop Chequing</t>
        </is>
      </c>
      <c r="C150" s="21" t="inlineStr">
        <is>
          <t>Interac e-Transfer sent to Kyle (Personal Account)</t>
        </is>
      </c>
      <c r="D150" s="33" t="n">
        <v>-3786.9</v>
      </c>
      <c r="E150" s="34">
        <f>IF($B150="","",IFERROR(INDEX('ACCOUNT MAP'!$C$6:$C$44,MATCH($B150,'ACCOUNT MAP'!$A$6:$A$44,0)),"! UNMAPPED ACCOUNT"))</f>
        <v/>
      </c>
      <c r="F150" s="21" t="inlineStr">
        <is>
          <t>Owner draw (sole prop)</t>
        </is>
      </c>
      <c r="G150" s="34">
        <f>IF($F150="","",IFERROR(INDEX(CATEGORIES!$C$5:$C$49,MATCH($F150,CATEGORIES!$B$5:$B$49,0)),"! UNKNOWN CATEGORY"))</f>
        <v/>
      </c>
      <c r="H150" s="21" t="n"/>
      <c r="I150" s="33" t="n"/>
      <c r="J150" s="35">
        <f>IF($A150="","",YEAR($A150)*100+MONTH($A150))</f>
        <v/>
      </c>
      <c r="K150" s="21" t="inlineStr"/>
    </row>
    <row r="151">
      <c r="A151" s="32" t="n">
        <v>46182</v>
      </c>
      <c r="B151" s="21" t="inlineStr">
        <is>
          <t>EQ - Sole Prop Chequing</t>
        </is>
      </c>
      <c r="C151" s="21" t="inlineStr">
        <is>
          <t>Interac e-Transfer sent to Kyle (Personal Account)</t>
        </is>
      </c>
      <c r="D151" s="33" t="n">
        <v>3786.9</v>
      </c>
      <c r="E151" s="34">
        <f>IF($B151="","",IFERROR(INDEX('ACCOUNT MAP'!$C$6:$C$44,MATCH($B151,'ACCOUNT MAP'!$A$6:$A$44,0)),"! UNMAPPED ACCOUNT"))</f>
        <v/>
      </c>
      <c r="F151" s="21" t="inlineStr">
        <is>
          <t>Owner draw (sole prop)</t>
        </is>
      </c>
      <c r="G151" s="34">
        <f>IF($F151="","",IFERROR(INDEX(CATEGORIES!$C$5:$C$49,MATCH($F151,CATEGORIES!$B$5:$B$49,0)),"! UNKNOWN CATEGORY"))</f>
        <v/>
      </c>
      <c r="H151" s="21" t="n"/>
      <c r="I151" s="33" t="n"/>
      <c r="J151" s="35">
        <f>IF($A151="","",YEAR($A151)*100+MONTH($A151))</f>
        <v/>
      </c>
      <c r="K151" s="21" t="inlineStr"/>
    </row>
    <row r="152">
      <c r="A152" s="32" t="n">
        <v>46182</v>
      </c>
      <c r="B152" s="21" t="inlineStr">
        <is>
          <t>EQ - Sole Prop Chequing</t>
        </is>
      </c>
      <c r="C152" s="21" t="inlineStr">
        <is>
          <t>Auto-withdrawal by AMEX BILL PYMT</t>
        </is>
      </c>
      <c r="D152" s="33" t="n">
        <v>-3563.78</v>
      </c>
      <c r="E152" s="34">
        <f>IF($B152="","",IFERROR(INDEX('ACCOUNT MAP'!$C$6:$C$44,MATCH($B152,'ACCOUNT MAP'!$A$6:$A$44,0)),"! UNMAPPED ACCOUNT"))</f>
        <v/>
      </c>
      <c r="F152" s="21" t="inlineStr">
        <is>
          <t>! UNCLEAR - NEEDS REVIEW</t>
        </is>
      </c>
      <c r="G152" s="34">
        <f>IF($F152="","",IFERROR(INDEX(CATEGORIES!$C$5:$C$49,MATCH($F152,CATEGORIES!$B$5:$B$49,0)),"! UNKNOWN CATEGORY"))</f>
        <v/>
      </c>
      <c r="H152" s="21" t="n"/>
      <c r="I152" s="33" t="n"/>
      <c r="J152" s="35">
        <f>IF($A152="","",YEAR($A152)*100+MONTH($A152))</f>
        <v/>
      </c>
      <c r="K152" s="21" t="inlineStr">
        <is>
          <t>Credit card payment — AMEX BILL PYMT</t>
        </is>
      </c>
    </row>
    <row r="153">
      <c r="A153" s="32" t="n">
        <v>46186</v>
      </c>
      <c r="B153" s="21" t="inlineStr">
        <is>
          <t>EQ - Sole Prop Chequing</t>
        </is>
      </c>
      <c r="C153" s="21" t="inlineStr">
        <is>
          <t>Interac e-Transfer sent to Kyle (Personal Account)</t>
        </is>
      </c>
      <c r="D153" s="33" t="n">
        <v>-3787</v>
      </c>
      <c r="E153" s="34">
        <f>IF($B153="","",IFERROR(INDEX('ACCOUNT MAP'!$C$6:$C$44,MATCH($B153,'ACCOUNT MAP'!$A$6:$A$44,0)),"! UNMAPPED ACCOUNT"))</f>
        <v/>
      </c>
      <c r="F153" s="21" t="inlineStr">
        <is>
          <t>Owner draw (sole prop)</t>
        </is>
      </c>
      <c r="G153" s="34">
        <f>IF($F153="","",IFERROR(INDEX(CATEGORIES!$C$5:$C$49,MATCH($F153,CATEGORIES!$B$5:$B$49,0)),"! UNKNOWN CATEGORY"))</f>
        <v/>
      </c>
      <c r="H153" s="21" t="n"/>
      <c r="I153" s="33" t="n"/>
      <c r="J153" s="35">
        <f>IF($A153="","",YEAR($A153)*100+MONTH($A153))</f>
        <v/>
      </c>
      <c r="K153" s="21" t="inlineStr"/>
    </row>
    <row r="154">
      <c r="A154" s="32" t="n">
        <v>46186</v>
      </c>
      <c r="B154" s="21" t="inlineStr">
        <is>
          <t>EQ - Sole Prop Chequing</t>
        </is>
      </c>
      <c r="C154" s="21" t="inlineStr">
        <is>
          <t>Interac e-Transfer sent to Kyle (Personal Account)</t>
        </is>
      </c>
      <c r="D154" s="33" t="n">
        <v>3787</v>
      </c>
      <c r="E154" s="34">
        <f>IF($B154="","",IFERROR(INDEX('ACCOUNT MAP'!$C$6:$C$44,MATCH($B154,'ACCOUNT MAP'!$A$6:$A$44,0)),"! UNMAPPED ACCOUNT"))</f>
        <v/>
      </c>
      <c r="F154" s="21" t="inlineStr">
        <is>
          <t>Owner draw (sole prop)</t>
        </is>
      </c>
      <c r="G154" s="34">
        <f>IF($F154="","",IFERROR(INDEX(CATEGORIES!$C$5:$C$49,MATCH($F154,CATEGORIES!$B$5:$B$49,0)),"! UNKNOWN CATEGORY"))</f>
        <v/>
      </c>
      <c r="H154" s="21" t="n"/>
      <c r="I154" s="33" t="n"/>
      <c r="J154" s="35">
        <f>IF($A154="","",YEAR($A154)*100+MONTH($A154))</f>
        <v/>
      </c>
      <c r="K154" s="21" t="inlineStr"/>
    </row>
    <row r="155">
      <c r="A155" s="32" t="n">
        <v>46188</v>
      </c>
      <c r="B155" s="21" t="inlineStr">
        <is>
          <t>EQ - Sole Prop Chequing</t>
        </is>
      </c>
      <c r="C155" s="21" t="inlineStr">
        <is>
          <t>Interac e-Transfer received from  BRUCE D REID</t>
        </is>
      </c>
      <c r="D155" s="33" t="n">
        <v>236.25</v>
      </c>
      <c r="E155" s="34">
        <f>IF($B155="","",IFERROR(INDEX('ACCOUNT MAP'!$C$6:$C$44,MATCH($B155,'ACCOUNT MAP'!$A$6:$A$44,0)),"! UNMAPPED ACCOUNT"))</f>
        <v/>
      </c>
      <c r="F155" s="21" t="inlineStr">
        <is>
          <t>Client payment received</t>
        </is>
      </c>
      <c r="G155" s="34">
        <f>IF($F155="","",IFERROR(INDEX(CATEGORIES!$C$5:$C$49,MATCH($F155,CATEGORIES!$B$5:$B$49,0)),"! UNKNOWN CATEGORY"))</f>
        <v/>
      </c>
      <c r="H155" s="21" t="n"/>
      <c r="I155" s="33" t="n">
        <v>11.25</v>
      </c>
      <c r="J155" s="35">
        <f>IF($A155="","",YEAR($A155)*100+MONTH($A155))</f>
        <v/>
      </c>
      <c r="K155" s="21" t="inlineStr"/>
    </row>
    <row r="156">
      <c r="A156" s="32" t="n">
        <v>46189</v>
      </c>
      <c r="B156" s="21" t="inlineStr">
        <is>
          <t>EQ - Sole Prop Chequing</t>
        </is>
      </c>
      <c r="C156" s="21" t="inlineStr">
        <is>
          <t>Interac e-Transfer sent to Kyle (Personal Account)</t>
        </is>
      </c>
      <c r="D156" s="33" t="n">
        <v>-3787</v>
      </c>
      <c r="E156" s="34">
        <f>IF($B156="","",IFERROR(INDEX('ACCOUNT MAP'!$C$6:$C$44,MATCH($B156,'ACCOUNT MAP'!$A$6:$A$44,0)),"! UNMAPPED ACCOUNT"))</f>
        <v/>
      </c>
      <c r="F156" s="21" t="inlineStr">
        <is>
          <t>Owner draw (sole prop)</t>
        </is>
      </c>
      <c r="G156" s="34">
        <f>IF($F156="","",IFERROR(INDEX(CATEGORIES!$C$5:$C$49,MATCH($F156,CATEGORIES!$B$5:$B$49,0)),"! UNKNOWN CATEGORY"))</f>
        <v/>
      </c>
      <c r="H156" s="21" t="n"/>
      <c r="I156" s="33" t="n"/>
      <c r="J156" s="35">
        <f>IF($A156="","",YEAR($A156)*100+MONTH($A156))</f>
        <v/>
      </c>
      <c r="K156" s="21" t="inlineStr"/>
    </row>
    <row r="157">
      <c r="A157" s="32" t="n">
        <v>46189</v>
      </c>
      <c r="B157" s="21" t="inlineStr">
        <is>
          <t>EQ - Sole Prop Chequing</t>
        </is>
      </c>
      <c r="C157" s="21" t="inlineStr">
        <is>
          <t>Interac e-Transfer received from  LAURIE IRWIN</t>
        </is>
      </c>
      <c r="D157" s="33" t="n">
        <v>504</v>
      </c>
      <c r="E157" s="34">
        <f>IF($B157="","",IFERROR(INDEX('ACCOUNT MAP'!$C$6:$C$44,MATCH($B157,'ACCOUNT MAP'!$A$6:$A$44,0)),"! UNMAPPED ACCOUNT"))</f>
        <v/>
      </c>
      <c r="F157" s="21" t="inlineStr">
        <is>
          <t>Client payment received</t>
        </is>
      </c>
      <c r="G157" s="34">
        <f>IF($F157="","",IFERROR(INDEX(CATEGORIES!$C$5:$C$49,MATCH($F157,CATEGORIES!$B$5:$B$49,0)),"! UNKNOWN CATEGORY"))</f>
        <v/>
      </c>
      <c r="H157" s="21" t="n"/>
      <c r="I157" s="33" t="n">
        <v>24</v>
      </c>
      <c r="J157" s="35">
        <f>IF($A157="","",YEAR($A157)*100+MONTH($A157))</f>
        <v/>
      </c>
      <c r="K157" s="21" t="inlineStr"/>
    </row>
    <row r="158">
      <c r="A158" s="32" t="n">
        <v>46190</v>
      </c>
      <c r="B158" s="21" t="inlineStr">
        <is>
          <t>EQ - Sole Prop Chequing</t>
        </is>
      </c>
      <c r="C158" s="21" t="inlineStr">
        <is>
          <t>Interac e-Transfer sent to Dean (black box)</t>
        </is>
      </c>
      <c r="D158" s="33" t="n">
        <v>-6004.85</v>
      </c>
      <c r="E158" s="34">
        <f>IF($B158="","",IFERROR(INDEX('ACCOUNT MAP'!$C$6:$C$44,MATCH($B158,'ACCOUNT MAP'!$A$6:$A$44,0)),"! UNMAPPED ACCOUNT"))</f>
        <v/>
      </c>
      <c r="F158" s="21" t="inlineStr">
        <is>
          <t>Materials and plants</t>
        </is>
      </c>
      <c r="G158" s="34">
        <f>IF($F158="","",IFERROR(INDEX(CATEGORIES!$C$5:$C$49,MATCH($F158,CATEGORIES!$B$5:$B$49,0)),"! UNKNOWN CATEGORY"))</f>
        <v/>
      </c>
      <c r="H158" s="21" t="n"/>
      <c r="I158" s="33" t="n"/>
      <c r="J158" s="35">
        <f>IF($A158="","",YEAR($A158)*100+MONTH($A158))</f>
        <v/>
      </c>
      <c r="K158" s="21" t="inlineStr"/>
    </row>
    <row r="159">
      <c r="A159" s="32" t="n">
        <v>46190</v>
      </c>
      <c r="B159" s="21" t="inlineStr">
        <is>
          <t>EQ - Sole Prop Chequing</t>
        </is>
      </c>
      <c r="C159" s="21" t="inlineStr">
        <is>
          <t>Auto-withdrawal by Gore Mutual</t>
        </is>
      </c>
      <c r="D159" s="33" t="n">
        <v>-93.62</v>
      </c>
      <c r="E159" s="34">
        <f>IF($B159="","",IFERROR(INDEX('ACCOUNT MAP'!$C$6:$C$44,MATCH($B159,'ACCOUNT MAP'!$A$6:$A$44,0)),"! UNMAPPED ACCOUNT"))</f>
        <v/>
      </c>
      <c r="F159" s="21" t="inlineStr">
        <is>
          <t>Liability insurance</t>
        </is>
      </c>
      <c r="G159" s="34">
        <f>IF($F159="","",IFERROR(INDEX(CATEGORIES!$C$5:$C$49,MATCH($F159,CATEGORIES!$B$5:$B$49,0)),"! UNKNOWN CATEGORY"))</f>
        <v/>
      </c>
      <c r="H159" s="21" t="n"/>
      <c r="I159" s="33" t="n"/>
      <c r="J159" s="35">
        <f>IF($A159="","",YEAR($A159)*100+MONTH($A159))</f>
        <v/>
      </c>
      <c r="K159" s="21" t="inlineStr"/>
    </row>
    <row r="160">
      <c r="A160" s="32" t="n">
        <v>46192</v>
      </c>
      <c r="B160" s="21" t="inlineStr">
        <is>
          <t>EQ - Sole Prop Chequing</t>
        </is>
      </c>
      <c r="C160" s="21" t="inlineStr">
        <is>
          <t>Interac e-Transfer sent to Liam Manchester</t>
        </is>
      </c>
      <c r="D160" s="33" t="n">
        <v>-139.93</v>
      </c>
      <c r="E160" s="34">
        <f>IF($B160="","",IFERROR(INDEX('ACCOUNT MAP'!$C$6:$C$44,MATCH($B160,'ACCOUNT MAP'!$A$6:$A$44,0)),"! UNMAPPED ACCOUNT"))</f>
        <v/>
      </c>
      <c r="F160" s="21" t="inlineStr">
        <is>
          <t>! UNCLEAR - NEEDS REVIEW</t>
        </is>
      </c>
      <c r="G160" s="34">
        <f>IF($F160="","",IFERROR(INDEX(CATEGORIES!$C$5:$C$49,MATCH($F160,CATEGORIES!$B$5:$B$49,0)),"! UNKNOWN CATEGORY"))</f>
        <v/>
      </c>
      <c r="H160" s="21" t="n"/>
      <c r="I160" s="33" t="n"/>
      <c r="J160" s="35">
        <f>IF($A160="","",YEAR($A160)*100+MONTH($A160))</f>
        <v/>
      </c>
      <c r="K160" s="21" t="inlineStr">
        <is>
          <t>? Crew or sub — Liam Manchester</t>
        </is>
      </c>
    </row>
    <row r="161">
      <c r="A161" s="32" t="n">
        <v>46192</v>
      </c>
      <c r="B161" s="21" t="inlineStr">
        <is>
          <t>EQ - Sole Prop Chequing</t>
        </is>
      </c>
      <c r="C161" s="21" t="inlineStr">
        <is>
          <t>Interac e-Transfer sent to Declan</t>
        </is>
      </c>
      <c r="D161" s="33" t="n">
        <v>-533.33</v>
      </c>
      <c r="E161" s="34">
        <f>IF($B161="","",IFERROR(INDEX('ACCOUNT MAP'!$C$6:$C$44,MATCH($B161,'ACCOUNT MAP'!$A$6:$A$44,0)),"! UNMAPPED ACCOUNT"))</f>
        <v/>
      </c>
      <c r="F161" s="21" t="inlineStr">
        <is>
          <t>! UNCLEAR - NEEDS REVIEW</t>
        </is>
      </c>
      <c r="G161" s="34">
        <f>IF($F161="","",IFERROR(INDEX(CATEGORIES!$C$5:$C$49,MATCH($F161,CATEGORIES!$B$5:$B$49,0)),"! UNKNOWN CATEGORY"))</f>
        <v/>
      </c>
      <c r="H161" s="21" t="n"/>
      <c r="I161" s="33" t="n"/>
      <c r="J161" s="35">
        <f>IF($A161="","",YEAR($A161)*100+MONTH($A161))</f>
        <v/>
      </c>
      <c r="K161" s="21" t="inlineStr">
        <is>
          <t>? Crew or sub — Declan</t>
        </is>
      </c>
    </row>
    <row r="162">
      <c r="A162" s="32" t="n">
        <v>46192</v>
      </c>
      <c r="B162" s="21" t="inlineStr">
        <is>
          <t>EQ - Sole Prop Chequing</t>
        </is>
      </c>
      <c r="C162" s="21" t="inlineStr">
        <is>
          <t>Interac e-Transfer sent to Isayas</t>
        </is>
      </c>
      <c r="D162" s="33" t="n">
        <v>-1528.4</v>
      </c>
      <c r="E162" s="34">
        <f>IF($B162="","",IFERROR(INDEX('ACCOUNT MAP'!$C$6:$C$44,MATCH($B162,'ACCOUNT MAP'!$A$6:$A$44,0)),"! UNMAPPED ACCOUNT"))</f>
        <v/>
      </c>
      <c r="F162" s="21" t="inlineStr">
        <is>
          <t>! UNCLEAR - NEEDS REVIEW</t>
        </is>
      </c>
      <c r="G162" s="34">
        <f>IF($F162="","",IFERROR(INDEX(CATEGORIES!$C$5:$C$49,MATCH($F162,CATEGORIES!$B$5:$B$49,0)),"! UNKNOWN CATEGORY"))</f>
        <v/>
      </c>
      <c r="H162" s="21" t="n"/>
      <c r="I162" s="33" t="n"/>
      <c r="J162" s="35">
        <f>IF($A162="","",YEAR($A162)*100+MONTH($A162))</f>
        <v/>
      </c>
      <c r="K162" s="21" t="inlineStr">
        <is>
          <t>? Crew or sub — Isayas</t>
        </is>
      </c>
    </row>
    <row r="163">
      <c r="A163" s="32" t="n">
        <v>46192</v>
      </c>
      <c r="B163" s="21" t="inlineStr">
        <is>
          <t>EQ - Sole Prop Chequing</t>
        </is>
      </c>
      <c r="C163" s="21" t="inlineStr">
        <is>
          <t>Mobile cheque deposit</t>
        </is>
      </c>
      <c r="D163" s="33" t="n">
        <v>330.75</v>
      </c>
      <c r="E163" s="34">
        <f>IF($B163="","",IFERROR(INDEX('ACCOUNT MAP'!$C$6:$C$44,MATCH($B163,'ACCOUNT MAP'!$A$6:$A$44,0)),"! UNMAPPED ACCOUNT"))</f>
        <v/>
      </c>
      <c r="F163" s="21" t="inlineStr">
        <is>
          <t>Client payment received</t>
        </is>
      </c>
      <c r="G163" s="34">
        <f>IF($F163="","",IFERROR(INDEX(CATEGORIES!$C$5:$C$49,MATCH($F163,CATEGORIES!$B$5:$B$49,0)),"! UNKNOWN CATEGORY"))</f>
        <v/>
      </c>
      <c r="H163" s="21" t="n"/>
      <c r="I163" s="33" t="n">
        <v>15.75</v>
      </c>
      <c r="J163" s="35">
        <f>IF($A163="","",YEAR($A163)*100+MONTH($A163))</f>
        <v/>
      </c>
      <c r="K163" s="21" t="inlineStr"/>
    </row>
    <row r="164">
      <c r="A164" s="32" t="n">
        <v>46192</v>
      </c>
      <c r="B164" s="21" t="inlineStr">
        <is>
          <t>EQ - Sole Prop Chequing</t>
        </is>
      </c>
      <c r="C164" s="21" t="inlineStr">
        <is>
          <t>Interac e-Transfer sent to Kyle (Personal Account)</t>
        </is>
      </c>
      <c r="D164" s="33" t="n">
        <v>-4000</v>
      </c>
      <c r="E164" s="34">
        <f>IF($B164="","",IFERROR(INDEX('ACCOUNT MAP'!$C$6:$C$44,MATCH($B164,'ACCOUNT MAP'!$A$6:$A$44,0)),"! UNMAPPED ACCOUNT"))</f>
        <v/>
      </c>
      <c r="F164" s="21" t="inlineStr">
        <is>
          <t>Owner draw (sole prop)</t>
        </is>
      </c>
      <c r="G164" s="34">
        <f>IF($F164="","",IFERROR(INDEX(CATEGORIES!$C$5:$C$49,MATCH($F164,CATEGORIES!$B$5:$B$49,0)),"! UNKNOWN CATEGORY"))</f>
        <v/>
      </c>
      <c r="H164" s="21" t="n"/>
      <c r="I164" s="33" t="n"/>
      <c r="J164" s="35">
        <f>IF($A164="","",YEAR($A164)*100+MONTH($A164))</f>
        <v/>
      </c>
      <c r="K164" s="21" t="inlineStr"/>
    </row>
    <row r="165">
      <c r="A165" s="32" t="n">
        <v>46192</v>
      </c>
      <c r="B165" s="21" t="inlineStr">
        <is>
          <t>EQ - Sole Prop Chequing</t>
        </is>
      </c>
      <c r="C165" s="21" t="inlineStr">
        <is>
          <t>Interac e-Transfer sent to Kyle (Personal Account)</t>
        </is>
      </c>
      <c r="D165" s="33" t="n">
        <v>4000</v>
      </c>
      <c r="E165" s="34">
        <f>IF($B165="","",IFERROR(INDEX('ACCOUNT MAP'!$C$6:$C$44,MATCH($B165,'ACCOUNT MAP'!$A$6:$A$44,0)),"! UNMAPPED ACCOUNT"))</f>
        <v/>
      </c>
      <c r="F165" s="21" t="inlineStr">
        <is>
          <t>Owner draw (sole prop)</t>
        </is>
      </c>
      <c r="G165" s="34">
        <f>IF($F165="","",IFERROR(INDEX(CATEGORIES!$C$5:$C$49,MATCH($F165,CATEGORIES!$B$5:$B$49,0)),"! UNKNOWN CATEGORY"))</f>
        <v/>
      </c>
      <c r="H165" s="21" t="n"/>
      <c r="I165" s="33" t="n"/>
      <c r="J165" s="35">
        <f>IF($A165="","",YEAR($A165)*100+MONTH($A165))</f>
        <v/>
      </c>
      <c r="K165" s="21" t="inlineStr"/>
    </row>
    <row r="166">
      <c r="A166" s="32" t="n">
        <v>46193</v>
      </c>
      <c r="B166" s="21" t="inlineStr">
        <is>
          <t>EQ - Sole Prop Chequing</t>
        </is>
      </c>
      <c r="C166" s="21" t="inlineStr">
        <is>
          <t>Interac e-Transfer received from  WILLIAM SANDERSON</t>
        </is>
      </c>
      <c r="D166" s="33" t="n">
        <v>1806</v>
      </c>
      <c r="E166" s="34">
        <f>IF($B166="","",IFERROR(INDEX('ACCOUNT MAP'!$C$6:$C$44,MATCH($B166,'ACCOUNT MAP'!$A$6:$A$44,0)),"! UNMAPPED ACCOUNT"))</f>
        <v/>
      </c>
      <c r="F166" s="21" t="inlineStr">
        <is>
          <t>Client payment received</t>
        </is>
      </c>
      <c r="G166" s="34">
        <f>IF($F166="","",IFERROR(INDEX(CATEGORIES!$C$5:$C$49,MATCH($F166,CATEGORIES!$B$5:$B$49,0)),"! UNKNOWN CATEGORY"))</f>
        <v/>
      </c>
      <c r="H166" s="21" t="n"/>
      <c r="I166" s="33" t="n">
        <v>86</v>
      </c>
      <c r="J166" s="35">
        <f>IF($A166="","",YEAR($A166)*100+MONTH($A166))</f>
        <v/>
      </c>
      <c r="K166" s="21" t="inlineStr"/>
    </row>
    <row r="167">
      <c r="A167" s="32" t="n">
        <v>46195</v>
      </c>
      <c r="B167" s="21" t="inlineStr">
        <is>
          <t>EQ - Sole Prop Chequing</t>
        </is>
      </c>
      <c r="C167" s="21" t="inlineStr">
        <is>
          <t>Interac e-Transfer received from  CAROL-ANN SAARI</t>
        </is>
      </c>
      <c r="D167" s="33" t="n">
        <v>2000</v>
      </c>
      <c r="E167" s="34">
        <f>IF($B167="","",IFERROR(INDEX('ACCOUNT MAP'!$C$6:$C$44,MATCH($B167,'ACCOUNT MAP'!$A$6:$A$44,0)),"! UNMAPPED ACCOUNT"))</f>
        <v/>
      </c>
      <c r="F167" s="21" t="inlineStr">
        <is>
          <t>Client payment received</t>
        </is>
      </c>
      <c r="G167" s="34">
        <f>IF($F167="","",IFERROR(INDEX(CATEGORIES!$C$5:$C$49,MATCH($F167,CATEGORIES!$B$5:$B$49,0)),"! UNKNOWN CATEGORY"))</f>
        <v/>
      </c>
      <c r="H167" s="21" t="n"/>
      <c r="I167" s="33" t="n">
        <v>95.23999999999999</v>
      </c>
      <c r="J167" s="35">
        <f>IF($A167="","",YEAR($A167)*100+MONTH($A167))</f>
        <v/>
      </c>
      <c r="K167" s="21" t="inlineStr"/>
    </row>
    <row r="168">
      <c r="A168" s="32" t="n">
        <v>46195</v>
      </c>
      <c r="B168" s="21" t="inlineStr">
        <is>
          <t>EQ - Sole Prop Chequing</t>
        </is>
      </c>
      <c r="C168" s="21" t="inlineStr">
        <is>
          <t>Mobile cheque deposit</t>
        </is>
      </c>
      <c r="D168" s="33" t="n">
        <v>7715.2</v>
      </c>
      <c r="E168" s="34">
        <f>IF($B168="","",IFERROR(INDEX('ACCOUNT MAP'!$C$6:$C$44,MATCH($B168,'ACCOUNT MAP'!$A$6:$A$44,0)),"! UNMAPPED ACCOUNT"))</f>
        <v/>
      </c>
      <c r="F168" s="21" t="inlineStr">
        <is>
          <t>Client payment received</t>
        </is>
      </c>
      <c r="G168" s="34">
        <f>IF($F168="","",IFERROR(INDEX(CATEGORIES!$C$5:$C$49,MATCH($F168,CATEGORIES!$B$5:$B$49,0)),"! UNKNOWN CATEGORY"))</f>
        <v/>
      </c>
      <c r="H168" s="21" t="n"/>
      <c r="I168" s="33" t="n">
        <v>367.39</v>
      </c>
      <c r="J168" s="35">
        <f>IF($A168="","",YEAR($A168)*100+MONTH($A168))</f>
        <v/>
      </c>
      <c r="K168" s="21" t="inlineStr"/>
    </row>
    <row r="169">
      <c r="A169" s="32" t="n">
        <v>46195</v>
      </c>
      <c r="B169" s="21" t="inlineStr">
        <is>
          <t>EQ - Sole Prop Chequing</t>
        </is>
      </c>
      <c r="C169" s="21" t="inlineStr">
        <is>
          <t>Interac e-Transfer sent to Booker, Daniel</t>
        </is>
      </c>
      <c r="D169" s="33" t="n">
        <v>-1236.79</v>
      </c>
      <c r="E169" s="34">
        <f>IF($B169="","",IFERROR(INDEX('ACCOUNT MAP'!$C$6:$C$44,MATCH($B169,'ACCOUNT MAP'!$A$6:$A$44,0)),"! UNMAPPED ACCOUNT"))</f>
        <v/>
      </c>
      <c r="F169" s="21" t="inlineStr">
        <is>
          <t>! UNCLEAR - NEEDS REVIEW</t>
        </is>
      </c>
      <c r="G169" s="34">
        <f>IF($F169="","",IFERROR(INDEX(CATEGORIES!$C$5:$C$49,MATCH($F169,CATEGORIES!$B$5:$B$49,0)),"! UNKNOWN CATEGORY"))</f>
        <v/>
      </c>
      <c r="H169" s="21" t="n"/>
      <c r="I169" s="33" t="n"/>
      <c r="J169" s="35">
        <f>IF($A169="","",YEAR($A169)*100+MONTH($A169))</f>
        <v/>
      </c>
      <c r="K169" s="21" t="inlineStr">
        <is>
          <t>? Booker, Daniel — UNIDENTIFIED</t>
        </is>
      </c>
    </row>
    <row r="170">
      <c r="A170" s="32" t="n">
        <v>46196</v>
      </c>
      <c r="B170" s="21" t="inlineStr">
        <is>
          <t>EQ - Sole Prop Chequing</t>
        </is>
      </c>
      <c r="C170" s="21" t="inlineStr">
        <is>
          <t>Interac e-Transfer sent to Kyle (Personal Account)</t>
        </is>
      </c>
      <c r="D170" s="33" t="n">
        <v>-4000</v>
      </c>
      <c r="E170" s="34">
        <f>IF($B170="","",IFERROR(INDEX('ACCOUNT MAP'!$C$6:$C$44,MATCH($B170,'ACCOUNT MAP'!$A$6:$A$44,0)),"! UNMAPPED ACCOUNT"))</f>
        <v/>
      </c>
      <c r="F170" s="21" t="inlineStr">
        <is>
          <t>Owner draw (sole prop)</t>
        </is>
      </c>
      <c r="G170" s="34">
        <f>IF($F170="","",IFERROR(INDEX(CATEGORIES!$C$5:$C$49,MATCH($F170,CATEGORIES!$B$5:$B$49,0)),"! UNKNOWN CATEGORY"))</f>
        <v/>
      </c>
      <c r="H170" s="21" t="n"/>
      <c r="I170" s="33" t="n"/>
      <c r="J170" s="35">
        <f>IF($A170="","",YEAR($A170)*100+MONTH($A170))</f>
        <v/>
      </c>
      <c r="K170" s="21" t="inlineStr"/>
    </row>
    <row r="171">
      <c r="A171" s="32" t="n">
        <v>46196</v>
      </c>
      <c r="B171" s="21" t="inlineStr">
        <is>
          <t>EQ - Sole Prop Chequing</t>
        </is>
      </c>
      <c r="C171" s="21" t="inlineStr">
        <is>
          <t>Auto-withdrawal by AMEX BILL PYMT</t>
        </is>
      </c>
      <c r="D171" s="33" t="n">
        <v>-1082.64</v>
      </c>
      <c r="E171" s="34">
        <f>IF($B171="","",IFERROR(INDEX('ACCOUNT MAP'!$C$6:$C$44,MATCH($B171,'ACCOUNT MAP'!$A$6:$A$44,0)),"! UNMAPPED ACCOUNT"))</f>
        <v/>
      </c>
      <c r="F171" s="21" t="inlineStr">
        <is>
          <t>! UNCLEAR - NEEDS REVIEW</t>
        </is>
      </c>
      <c r="G171" s="34">
        <f>IF($F171="","",IFERROR(INDEX(CATEGORIES!$C$5:$C$49,MATCH($F171,CATEGORIES!$B$5:$B$49,0)),"! UNKNOWN CATEGORY"))</f>
        <v/>
      </c>
      <c r="H171" s="21" t="n"/>
      <c r="I171" s="33" t="n"/>
      <c r="J171" s="35">
        <f>IF($A171="","",YEAR($A171)*100+MONTH($A171))</f>
        <v/>
      </c>
      <c r="K171" s="21" t="inlineStr">
        <is>
          <t>Credit card payment — AMEX BILL PYMT</t>
        </is>
      </c>
    </row>
    <row r="172">
      <c r="A172" s="32" t="n">
        <v>46201</v>
      </c>
      <c r="B172" s="21" t="inlineStr">
        <is>
          <t>EQ - Sole Prop Chequing</t>
        </is>
      </c>
      <c r="C172" s="21" t="inlineStr">
        <is>
          <t>Interac e-Transfer sent to Kyle (Personal Account)</t>
        </is>
      </c>
      <c r="D172" s="33" t="n">
        <v>-4000</v>
      </c>
      <c r="E172" s="34">
        <f>IF($B172="","",IFERROR(INDEX('ACCOUNT MAP'!$C$6:$C$44,MATCH($B172,'ACCOUNT MAP'!$A$6:$A$44,0)),"! UNMAPPED ACCOUNT"))</f>
        <v/>
      </c>
      <c r="F172" s="21" t="inlineStr">
        <is>
          <t>Owner draw (sole prop)</t>
        </is>
      </c>
      <c r="G172" s="34">
        <f>IF($F172="","",IFERROR(INDEX(CATEGORIES!$C$5:$C$49,MATCH($F172,CATEGORIES!$B$5:$B$49,0)),"! UNKNOWN CATEGORY"))</f>
        <v/>
      </c>
      <c r="H172" s="21" t="n"/>
      <c r="I172" s="33" t="n"/>
      <c r="J172" s="35">
        <f>IF($A172="","",YEAR($A172)*100+MONTH($A172))</f>
        <v/>
      </c>
      <c r="K172" s="21" t="inlineStr"/>
    </row>
    <row r="173">
      <c r="A173" s="32" t="n">
        <v>46203</v>
      </c>
      <c r="B173" s="21" t="inlineStr">
        <is>
          <t>EQ - Sole Prop Chequing</t>
        </is>
      </c>
      <c r="C173" s="21" t="inlineStr">
        <is>
          <t>Interac e-Transfer sent to Kierran Kivinen</t>
        </is>
      </c>
      <c r="D173" s="33" t="n">
        <v>-1570.53</v>
      </c>
      <c r="E173" s="34">
        <f>IF($B173="","",IFERROR(INDEX('ACCOUNT MAP'!$C$6:$C$44,MATCH($B173,'ACCOUNT MAP'!$A$6:$A$44,0)),"! UNMAPPED ACCOUNT"))</f>
        <v/>
      </c>
      <c r="F173" s="21" t="inlineStr">
        <is>
          <t>Crew wages (net pay out)</t>
        </is>
      </c>
      <c r="G173" s="34">
        <f>IF($F173="","",IFERROR(INDEX(CATEGORIES!$C$5:$C$49,MATCH($F173,CATEGORIES!$B$5:$B$49,0)),"! UNKNOWN CATEGORY"))</f>
        <v/>
      </c>
      <c r="H173" s="21" t="n"/>
      <c r="I173" s="33" t="n"/>
      <c r="J173" s="35">
        <f>IF($A173="","",YEAR($A173)*100+MONTH($A173))</f>
        <v/>
      </c>
      <c r="K173" s="21" t="inlineStr"/>
    </row>
    <row r="174">
      <c r="A174" s="32" t="n">
        <v>46203</v>
      </c>
      <c r="B174" s="21" t="inlineStr">
        <is>
          <t>EQ - Sole Prop Chequing</t>
        </is>
      </c>
      <c r="C174" s="21" t="inlineStr">
        <is>
          <t>Interac e-Transfer received from  Mark A</t>
        </is>
      </c>
      <c r="D174" s="33" t="n">
        <v>2866</v>
      </c>
      <c r="E174" s="34">
        <f>IF($B174="","",IFERROR(INDEX('ACCOUNT MAP'!$C$6:$C$44,MATCH($B174,'ACCOUNT MAP'!$A$6:$A$44,0)),"! UNMAPPED ACCOUNT"))</f>
        <v/>
      </c>
      <c r="F174" s="21" t="inlineStr">
        <is>
          <t>Client payment received</t>
        </is>
      </c>
      <c r="G174" s="34">
        <f>IF($F174="","",IFERROR(INDEX(CATEGORIES!$C$5:$C$49,MATCH($F174,CATEGORIES!$B$5:$B$49,0)),"! UNKNOWN CATEGORY"))</f>
        <v/>
      </c>
      <c r="H174" s="21" t="n"/>
      <c r="I174" s="33" t="n">
        <v>136.48</v>
      </c>
      <c r="J174" s="35">
        <f>IF($A174="","",YEAR($A174)*100+MONTH($A174))</f>
        <v/>
      </c>
      <c r="K174" s="21" t="inlineStr"/>
    </row>
    <row r="175">
      <c r="A175" s="32" t="n">
        <v>46203</v>
      </c>
      <c r="B175" s="21" t="inlineStr">
        <is>
          <t>EQ - Sole Prop Chequing</t>
        </is>
      </c>
      <c r="C175" s="21" t="inlineStr">
        <is>
          <t>Interest received</t>
        </is>
      </c>
      <c r="D175" s="33" t="n">
        <v>163.12</v>
      </c>
      <c r="E175" s="34">
        <f>IF($B175="","",IFERROR(INDEX('ACCOUNT MAP'!$C$6:$C$44,MATCH($B175,'ACCOUNT MAP'!$A$6:$A$44,0)),"! UNMAPPED ACCOUNT"))</f>
        <v/>
      </c>
      <c r="F175" s="21" t="inlineStr">
        <is>
          <t>Other business income</t>
        </is>
      </c>
      <c r="G175" s="34">
        <f>IF($F175="","",IFERROR(INDEX(CATEGORIES!$C$5:$C$49,MATCH($F175,CATEGORIES!$B$5:$B$49,0)),"! UNKNOWN CATEGORY"))</f>
        <v/>
      </c>
      <c r="H175" s="21" t="n"/>
      <c r="I175" s="33" t="n"/>
      <c r="J175" s="35">
        <f>IF($A175="","",YEAR($A175)*100+MONTH($A175))</f>
        <v/>
      </c>
      <c r="K175" s="21" t="inlineStr"/>
    </row>
    <row r="176">
      <c r="A176" s="32" t="n">
        <v>46208</v>
      </c>
      <c r="B176" s="21" t="inlineStr">
        <is>
          <t>EQ - Sole Prop Chequing</t>
        </is>
      </c>
      <c r="C176" s="21" t="inlineStr">
        <is>
          <t>Interac e-Transfer received from  ANITA FLEICE</t>
        </is>
      </c>
      <c r="D176" s="33" t="n">
        <v>504</v>
      </c>
      <c r="E176" s="34">
        <f>IF($B176="","",IFERROR(INDEX('ACCOUNT MAP'!$C$6:$C$44,MATCH($B176,'ACCOUNT MAP'!$A$6:$A$44,0)),"! UNMAPPED ACCOUNT"))</f>
        <v/>
      </c>
      <c r="F176" s="21" t="inlineStr">
        <is>
          <t>Client payment received</t>
        </is>
      </c>
      <c r="G176" s="34">
        <f>IF($F176="","",IFERROR(INDEX(CATEGORIES!$C$5:$C$49,MATCH($F176,CATEGORIES!$B$5:$B$49,0)),"! UNKNOWN CATEGORY"))</f>
        <v/>
      </c>
      <c r="H176" s="21" t="n"/>
      <c r="I176" s="33" t="n">
        <v>24</v>
      </c>
      <c r="J176" s="35">
        <f>IF($A176="","",YEAR($A176)*100+MONTH($A176))</f>
        <v/>
      </c>
      <c r="K176" s="21" t="inlineStr"/>
    </row>
    <row r="177">
      <c r="A177" s="32" t="n">
        <v>46208</v>
      </c>
      <c r="B177" s="21" t="inlineStr">
        <is>
          <t>EQ - Sole Prop Chequing</t>
        </is>
      </c>
      <c r="C177" s="21" t="inlineStr">
        <is>
          <t>Interac e-Transfer received from  DAVID C NEWSOME</t>
        </is>
      </c>
      <c r="D177" s="33" t="n">
        <v>252</v>
      </c>
      <c r="E177" s="34">
        <f>IF($B177="","",IFERROR(INDEX('ACCOUNT MAP'!$C$6:$C$44,MATCH($B177,'ACCOUNT MAP'!$A$6:$A$44,0)),"! UNMAPPED ACCOUNT"))</f>
        <v/>
      </c>
      <c r="F177" s="21" t="inlineStr">
        <is>
          <t>Client payment received</t>
        </is>
      </c>
      <c r="G177" s="34">
        <f>IF($F177="","",IFERROR(INDEX(CATEGORIES!$C$5:$C$49,MATCH($F177,CATEGORIES!$B$5:$B$49,0)),"! UNKNOWN CATEGORY"))</f>
        <v/>
      </c>
      <c r="H177" s="21" t="n"/>
      <c r="I177" s="33" t="n">
        <v>12</v>
      </c>
      <c r="J177" s="35">
        <f>IF($A177="","",YEAR($A177)*100+MONTH($A177))</f>
        <v/>
      </c>
      <c r="K177" s="21" t="inlineStr"/>
    </row>
    <row r="178">
      <c r="A178" s="32" t="n">
        <v>46208</v>
      </c>
      <c r="B178" s="21" t="inlineStr">
        <is>
          <t>EQ - Sole Prop Chequing</t>
        </is>
      </c>
      <c r="C178" s="21" t="inlineStr">
        <is>
          <t>Interac e-Transfer sent to Booker, Daniel</t>
        </is>
      </c>
      <c r="D178" s="33" t="n">
        <v>-295.5</v>
      </c>
      <c r="E178" s="34">
        <f>IF($B178="","",IFERROR(INDEX('ACCOUNT MAP'!$C$6:$C$44,MATCH($B178,'ACCOUNT MAP'!$A$6:$A$44,0)),"! UNMAPPED ACCOUNT"))</f>
        <v/>
      </c>
      <c r="F178" s="21" t="inlineStr">
        <is>
          <t>! UNCLEAR - NEEDS REVIEW</t>
        </is>
      </c>
      <c r="G178" s="34">
        <f>IF($F178="","",IFERROR(INDEX(CATEGORIES!$C$5:$C$49,MATCH($F178,CATEGORIES!$B$5:$B$49,0)),"! UNKNOWN CATEGORY"))</f>
        <v/>
      </c>
      <c r="H178" s="21" t="n"/>
      <c r="I178" s="33" t="n"/>
      <c r="J178" s="35">
        <f>IF($A178="","",YEAR($A178)*100+MONTH($A178))</f>
        <v/>
      </c>
      <c r="K178" s="21" t="inlineStr">
        <is>
          <t>? Booker, Daniel — UNIDENTIFIED</t>
        </is>
      </c>
    </row>
    <row r="179">
      <c r="A179" s="32" t="n">
        <v>46208</v>
      </c>
      <c r="B179" s="21" t="inlineStr">
        <is>
          <t>EQ - Sole Prop Chequing</t>
        </is>
      </c>
      <c r="C179" s="21" t="inlineStr">
        <is>
          <t>Interac e-Transfer sent to Kierran Kivinen</t>
        </is>
      </c>
      <c r="D179" s="33" t="n">
        <v>-1430.06</v>
      </c>
      <c r="E179" s="34">
        <f>IF($B179="","",IFERROR(INDEX('ACCOUNT MAP'!$C$6:$C$44,MATCH($B179,'ACCOUNT MAP'!$A$6:$A$44,0)),"! UNMAPPED ACCOUNT"))</f>
        <v/>
      </c>
      <c r="F179" s="21" t="inlineStr">
        <is>
          <t>Crew wages (net pay out)</t>
        </is>
      </c>
      <c r="G179" s="34">
        <f>IF($F179="","",IFERROR(INDEX(CATEGORIES!$C$5:$C$49,MATCH($F179,CATEGORIES!$B$5:$B$49,0)),"! UNKNOWN CATEGORY"))</f>
        <v/>
      </c>
      <c r="H179" s="21" t="n"/>
      <c r="I179" s="33" t="n"/>
      <c r="J179" s="35">
        <f>IF($A179="","",YEAR($A179)*100+MONTH($A179))</f>
        <v/>
      </c>
      <c r="K179" s="21" t="inlineStr"/>
    </row>
    <row r="180">
      <c r="A180" s="32" t="n">
        <v>46209</v>
      </c>
      <c r="B180" s="21" t="inlineStr">
        <is>
          <t>EQ - Sole Prop Chequing</t>
        </is>
      </c>
      <c r="C180" s="21" t="inlineStr">
        <is>
          <t>Interac e-Transfer received from  JUSTIN TSE</t>
        </is>
      </c>
      <c r="D180" s="33" t="n">
        <v>441</v>
      </c>
      <c r="E180" s="34">
        <f>IF($B180="","",IFERROR(INDEX('ACCOUNT MAP'!$C$6:$C$44,MATCH($B180,'ACCOUNT MAP'!$A$6:$A$44,0)),"! UNMAPPED ACCOUNT"))</f>
        <v/>
      </c>
      <c r="F180" s="21" t="inlineStr">
        <is>
          <t>Client payment received</t>
        </is>
      </c>
      <c r="G180" s="34">
        <f>IF($F180="","",IFERROR(INDEX(CATEGORIES!$C$5:$C$49,MATCH($F180,CATEGORIES!$B$5:$B$49,0)),"! UNKNOWN CATEGORY"))</f>
        <v/>
      </c>
      <c r="H180" s="21" t="n"/>
      <c r="I180" s="33" t="n">
        <v>21</v>
      </c>
      <c r="J180" s="35">
        <f>IF($A180="","",YEAR($A180)*100+MONTH($A180))</f>
        <v/>
      </c>
      <c r="K180" s="21" t="inlineStr"/>
    </row>
    <row r="181">
      <c r="A181" s="32" t="n">
        <v>46209</v>
      </c>
      <c r="B181" s="21" t="inlineStr">
        <is>
          <t>EQ - Sole Prop Chequing</t>
        </is>
      </c>
      <c r="C181" s="21" t="inlineStr">
        <is>
          <t>Interac e-Transfer sent to Canadian Tire Bank</t>
        </is>
      </c>
      <c r="D181" s="33" t="n">
        <v>-3000</v>
      </c>
      <c r="E181" s="34">
        <f>IF($B181="","",IFERROR(INDEX('ACCOUNT MAP'!$C$6:$C$44,MATCH($B181,'ACCOUNT MAP'!$A$6:$A$44,0)),"! UNMAPPED ACCOUNT"))</f>
        <v/>
      </c>
      <c r="F181" s="21" t="inlineStr">
        <is>
          <t>! UNCLEAR - NEEDS REVIEW</t>
        </is>
      </c>
      <c r="G181" s="34">
        <f>IF($F181="","",IFERROR(INDEX(CATEGORIES!$C$5:$C$49,MATCH($F181,CATEGORIES!$B$5:$B$49,0)),"! UNKNOWN CATEGORY"))</f>
        <v/>
      </c>
      <c r="H181" s="21" t="n"/>
      <c r="I181" s="33" t="n"/>
      <c r="J181" s="35">
        <f>IF($A181="","",YEAR($A181)*100+MONTH($A181))</f>
        <v/>
      </c>
      <c r="K181" s="21" t="inlineStr">
        <is>
          <t>Credit card payment — Canadian Tire Bank</t>
        </is>
      </c>
    </row>
    <row r="182">
      <c r="A182" s="32" t="n">
        <v>46210</v>
      </c>
      <c r="B182" s="21" t="inlineStr">
        <is>
          <t>EQ - Sole Prop Chequing</t>
        </is>
      </c>
      <c r="C182" s="21" t="inlineStr">
        <is>
          <t>Interac e-Transfer received from  Ramsay P Attisha</t>
        </is>
      </c>
      <c r="D182" s="33" t="n">
        <v>1200</v>
      </c>
      <c r="E182" s="34">
        <f>IF($B182="","",IFERROR(INDEX('ACCOUNT MAP'!$C$6:$C$44,MATCH($B182,'ACCOUNT MAP'!$A$6:$A$44,0)),"! UNMAPPED ACCOUNT"))</f>
        <v/>
      </c>
      <c r="F182" s="21" t="inlineStr">
        <is>
          <t>Client payment received</t>
        </is>
      </c>
      <c r="G182" s="34">
        <f>IF($F182="","",IFERROR(INDEX(CATEGORIES!$C$5:$C$49,MATCH($F182,CATEGORIES!$B$5:$B$49,0)),"! UNKNOWN CATEGORY"))</f>
        <v/>
      </c>
      <c r="H182" s="21" t="n"/>
      <c r="I182" s="33" t="n">
        <v>57.14</v>
      </c>
      <c r="J182" s="35">
        <f>IF($A182="","",YEAR($A182)*100+MONTH($A182))</f>
        <v/>
      </c>
      <c r="K182" s="21" t="inlineStr"/>
    </row>
    <row r="183">
      <c r="A183" s="32" t="n">
        <v>46211</v>
      </c>
      <c r="B183" s="21" t="inlineStr">
        <is>
          <t>EQ - Sole Prop Chequing</t>
        </is>
      </c>
      <c r="C183" s="21" t="inlineStr">
        <is>
          <t>Interac e-Transfer sent to Canadian Tire Bank</t>
        </is>
      </c>
      <c r="D183" s="33" t="n">
        <v>-3000</v>
      </c>
      <c r="E183" s="34">
        <f>IF($B183="","",IFERROR(INDEX('ACCOUNT MAP'!$C$6:$C$44,MATCH($B183,'ACCOUNT MAP'!$A$6:$A$44,0)),"! UNMAPPED ACCOUNT"))</f>
        <v/>
      </c>
      <c r="F183" s="21" t="inlineStr">
        <is>
          <t>! UNCLEAR - NEEDS REVIEW</t>
        </is>
      </c>
      <c r="G183" s="34">
        <f>IF($F183="","",IFERROR(INDEX(CATEGORIES!$C$5:$C$49,MATCH($F183,CATEGORIES!$B$5:$B$49,0)),"! UNKNOWN CATEGORY"))</f>
        <v/>
      </c>
      <c r="H183" s="21" t="n"/>
      <c r="I183" s="33" t="n"/>
      <c r="J183" s="35">
        <f>IF($A183="","",YEAR($A183)*100+MONTH($A183))</f>
        <v/>
      </c>
      <c r="K183" s="21" t="inlineStr">
        <is>
          <t>Credit card payment — Canadian Tire Bank</t>
        </is>
      </c>
    </row>
    <row r="184">
      <c r="A184" s="32" t="n">
        <v>46213</v>
      </c>
      <c r="B184" s="21" t="inlineStr">
        <is>
          <t>EQ - Sole Prop Chequing</t>
        </is>
      </c>
      <c r="C184" s="21" t="inlineStr">
        <is>
          <t>Interac e-Transfer received from  BRUCE D REID</t>
        </is>
      </c>
      <c r="D184" s="33" t="n">
        <v>603.75</v>
      </c>
      <c r="E184" s="34">
        <f>IF($B184="","",IFERROR(INDEX('ACCOUNT MAP'!$C$6:$C$44,MATCH($B184,'ACCOUNT MAP'!$A$6:$A$44,0)),"! UNMAPPED ACCOUNT"))</f>
        <v/>
      </c>
      <c r="F184" s="21" t="inlineStr">
        <is>
          <t>Client payment received</t>
        </is>
      </c>
      <c r="G184" s="34">
        <f>IF($F184="","",IFERROR(INDEX(CATEGORIES!$C$5:$C$49,MATCH($F184,CATEGORIES!$B$5:$B$49,0)),"! UNKNOWN CATEGORY"))</f>
        <v/>
      </c>
      <c r="H184" s="21" t="n"/>
      <c r="I184" s="33" t="n">
        <v>28.75</v>
      </c>
      <c r="J184" s="35">
        <f>IF($A184="","",YEAR($A184)*100+MONTH($A184))</f>
        <v/>
      </c>
      <c r="K184" s="21" t="inlineStr"/>
    </row>
    <row r="185">
      <c r="A185" s="32" t="n">
        <v>46214</v>
      </c>
      <c r="B185" s="21" t="inlineStr">
        <is>
          <t>EQ - Sole Prop Chequing</t>
        </is>
      </c>
      <c r="C185" s="21" t="inlineStr">
        <is>
          <t>Interac e-Transfer sent to Canadian Tire Bank</t>
        </is>
      </c>
      <c r="D185" s="33" t="n">
        <v>-310</v>
      </c>
      <c r="E185" s="34">
        <f>IF($B185="","",IFERROR(INDEX('ACCOUNT MAP'!$C$6:$C$44,MATCH($B185,'ACCOUNT MAP'!$A$6:$A$44,0)),"! UNMAPPED ACCOUNT"))</f>
        <v/>
      </c>
      <c r="F185" s="21" t="inlineStr">
        <is>
          <t>! UNCLEAR - NEEDS REVIEW</t>
        </is>
      </c>
      <c r="G185" s="34">
        <f>IF($F185="","",IFERROR(INDEX(CATEGORIES!$C$5:$C$49,MATCH($F185,CATEGORIES!$B$5:$B$49,0)),"! UNKNOWN CATEGORY"))</f>
        <v/>
      </c>
      <c r="H185" s="21" t="n"/>
      <c r="I185" s="33" t="n"/>
      <c r="J185" s="35">
        <f>IF($A185="","",YEAR($A185)*100+MONTH($A185))</f>
        <v/>
      </c>
      <c r="K185" s="21" t="inlineStr">
        <is>
          <t>Credit card payment — Canadian Tire Bank</t>
        </is>
      </c>
    </row>
    <row r="186">
      <c r="A186" s="32" t="n">
        <v>46218</v>
      </c>
      <c r="B186" s="21" t="inlineStr">
        <is>
          <t>EQ - Sole Prop Chequing</t>
        </is>
      </c>
      <c r="C186" s="21" t="inlineStr">
        <is>
          <t>Interac e-Transfer sent to Ryan</t>
        </is>
      </c>
      <c r="D186" s="33" t="n">
        <v>-150</v>
      </c>
      <c r="E186" s="34">
        <f>IF($B186="","",IFERROR(INDEX('ACCOUNT MAP'!$C$6:$C$44,MATCH($B186,'ACCOUNT MAP'!$A$6:$A$44,0)),"! UNMAPPED ACCOUNT"))</f>
        <v/>
      </c>
      <c r="F186" s="21" t="inlineStr">
        <is>
          <t>! UNCLEAR - NEEDS REVIEW</t>
        </is>
      </c>
      <c r="G186" s="34">
        <f>IF($F186="","",IFERROR(INDEX(CATEGORIES!$C$5:$C$49,MATCH($F186,CATEGORIES!$B$5:$B$49,0)),"! UNKNOWN CATEGORY"))</f>
        <v/>
      </c>
      <c r="H186" s="21" t="n"/>
      <c r="I186" s="33" t="n"/>
      <c r="J186" s="35">
        <f>IF($A186="","",YEAR($A186)*100+MONTH($A186))</f>
        <v/>
      </c>
      <c r="K186" s="21" t="inlineStr">
        <is>
          <t>? Crew or sub — Ryan</t>
        </is>
      </c>
    </row>
    <row r="187">
      <c r="A187" s="32" t="n">
        <v>46218</v>
      </c>
      <c r="B187" s="21" t="inlineStr">
        <is>
          <t>EQ - Sole Prop Chequing</t>
        </is>
      </c>
      <c r="C187" s="21" t="inlineStr">
        <is>
          <t>Mobile cheque deposit</t>
        </is>
      </c>
      <c r="D187" s="33" t="n">
        <v>1102.5</v>
      </c>
      <c r="E187" s="34">
        <f>IF($B187="","",IFERROR(INDEX('ACCOUNT MAP'!$C$6:$C$44,MATCH($B187,'ACCOUNT MAP'!$A$6:$A$44,0)),"! UNMAPPED ACCOUNT"))</f>
        <v/>
      </c>
      <c r="F187" s="21" t="inlineStr">
        <is>
          <t>Client payment received</t>
        </is>
      </c>
      <c r="G187" s="34">
        <f>IF($F187="","",IFERROR(INDEX(CATEGORIES!$C$5:$C$49,MATCH($F187,CATEGORIES!$B$5:$B$49,0)),"! UNKNOWN CATEGORY"))</f>
        <v/>
      </c>
      <c r="H187" s="21" t="n"/>
      <c r="I187" s="33" t="n">
        <v>52.5</v>
      </c>
      <c r="J187" s="35">
        <f>IF($A187="","",YEAR($A187)*100+MONTH($A187))</f>
        <v/>
      </c>
      <c r="K187" s="21" t="inlineStr"/>
    </row>
    <row r="188">
      <c r="A188" s="32" t="n">
        <v>46220</v>
      </c>
      <c r="B188" s="21" t="inlineStr">
        <is>
          <t>EQ - Sole Prop Chequing</t>
        </is>
      </c>
      <c r="C188" s="21" t="inlineStr">
        <is>
          <t>Auto-withdrawal by Gore Mutual</t>
        </is>
      </c>
      <c r="D188" s="33" t="n">
        <v>-93.62</v>
      </c>
      <c r="E188" s="34">
        <f>IF($B188="","",IFERROR(INDEX('ACCOUNT MAP'!$C$6:$C$44,MATCH($B188,'ACCOUNT MAP'!$A$6:$A$44,0)),"! UNMAPPED ACCOUNT"))</f>
        <v/>
      </c>
      <c r="F188" s="21" t="inlineStr">
        <is>
          <t>Liability insurance</t>
        </is>
      </c>
      <c r="G188" s="34">
        <f>IF($F188="","",IFERROR(INDEX(CATEGORIES!$C$5:$C$49,MATCH($F188,CATEGORIES!$B$5:$B$49,0)),"! UNKNOWN CATEGORY"))</f>
        <v/>
      </c>
      <c r="H188" s="21" t="n"/>
      <c r="I188" s="33" t="n"/>
      <c r="J188" s="35">
        <f>IF($A188="","",YEAR($A188)*100+MONTH($A188))</f>
        <v/>
      </c>
      <c r="K188" s="21" t="inlineStr"/>
    </row>
    <row r="189">
      <c r="A189" s="32" t="n">
        <v>46224</v>
      </c>
      <c r="B189" s="21" t="inlineStr">
        <is>
          <t>EQ - Sole Prop Chequing</t>
        </is>
      </c>
      <c r="C189" s="21" t="inlineStr">
        <is>
          <t>Interac e-Transfer sent to Kierran Kivinen</t>
        </is>
      </c>
      <c r="D189" s="33" t="n">
        <v>-1384.98</v>
      </c>
      <c r="E189" s="34">
        <f>IF($B189="","",IFERROR(INDEX('ACCOUNT MAP'!$C$6:$C$44,MATCH($B189,'ACCOUNT MAP'!$A$6:$A$44,0)),"! UNMAPPED ACCOUNT"))</f>
        <v/>
      </c>
      <c r="F189" s="21" t="inlineStr">
        <is>
          <t>Crew wages (net pay out)</t>
        </is>
      </c>
      <c r="G189" s="34">
        <f>IF($F189="","",IFERROR(INDEX(CATEGORIES!$C$5:$C$49,MATCH($F189,CATEGORIES!$B$5:$B$49,0)),"! UNKNOWN CATEGORY"))</f>
        <v/>
      </c>
      <c r="H189" s="21" t="n"/>
      <c r="I189" s="33" t="n"/>
      <c r="J189" s="35">
        <f>IF($A189="","",YEAR($A189)*100+MONTH($A189))</f>
        <v/>
      </c>
      <c r="K189" s="21" t="inlineStr"/>
    </row>
    <row r="190">
      <c r="A190" s="32" t="n">
        <v>46234</v>
      </c>
      <c r="B190" s="21" t="inlineStr">
        <is>
          <t>EQ - Sole Prop Chequing</t>
        </is>
      </c>
      <c r="C190" s="21" t="inlineStr">
        <is>
          <t>Interest received</t>
        </is>
      </c>
      <c r="D190" s="33" t="n">
        <v>146.77</v>
      </c>
      <c r="E190" s="34">
        <f>IF($B190="","",IFERROR(INDEX('ACCOUNT MAP'!$C$6:$C$44,MATCH($B190,'ACCOUNT MAP'!$A$6:$A$44,0)),"! UNMAPPED ACCOUNT"))</f>
        <v/>
      </c>
      <c r="F190" s="21" t="inlineStr">
        <is>
          <t>Other business income</t>
        </is>
      </c>
      <c r="G190" s="34">
        <f>IF($F190="","",IFERROR(INDEX(CATEGORIES!$C$5:$C$49,MATCH($F190,CATEGORIES!$B$5:$B$49,0)),"! UNKNOWN CATEGORY"))</f>
        <v/>
      </c>
      <c r="H190" s="21" t="n"/>
      <c r="I190" s="33" t="n"/>
      <c r="J190" s="35">
        <f>IF($A190="","",YEAR($A190)*100+MONTH($A190))</f>
        <v/>
      </c>
      <c r="K190" s="21" t="inlineStr"/>
    </row>
    <row r="191">
      <c r="A191" s="32" t="n">
        <v>46238</v>
      </c>
      <c r="B191" s="21" t="inlineStr">
        <is>
          <t>EQ - Sole Prop Chequing</t>
        </is>
      </c>
      <c r="C191" s="21" t="inlineStr">
        <is>
          <t>Interac e-Transfer sent to Kyle (Personal Account)</t>
        </is>
      </c>
      <c r="D191" s="33" t="n">
        <v>-4000</v>
      </c>
      <c r="E191" s="34">
        <f>IF($B191="","",IFERROR(INDEX('ACCOUNT MAP'!$C$6:$C$44,MATCH($B191,'ACCOUNT MAP'!$A$6:$A$44,0)),"! UNMAPPED ACCOUNT"))</f>
        <v/>
      </c>
      <c r="F191" s="21" t="inlineStr">
        <is>
          <t>Owner draw (sole prop)</t>
        </is>
      </c>
      <c r="G191" s="34">
        <f>IF($F191="","",IFERROR(INDEX(CATEGORIES!$C$5:$C$49,MATCH($F191,CATEGORIES!$B$5:$B$49,0)),"! UNKNOWN CATEGORY"))</f>
        <v/>
      </c>
      <c r="H191" s="21" t="n"/>
      <c r="I191" s="33" t="n"/>
      <c r="J191" s="35">
        <f>IF($A191="","",YEAR($A191)*100+MONTH($A191))</f>
        <v/>
      </c>
      <c r="K191" s="21" t="inlineStr"/>
    </row>
    <row r="192">
      <c r="A192" s="32" t="n">
        <v>46244</v>
      </c>
      <c r="B192" s="21" t="inlineStr">
        <is>
          <t>EQ - Sole Prop Chequing</t>
        </is>
      </c>
      <c r="C192" s="21" t="inlineStr">
        <is>
          <t>Auto-withdrawal by AMEX BILL PYMT</t>
        </is>
      </c>
      <c r="D192" s="33" t="n">
        <v>-1484.35</v>
      </c>
      <c r="E192" s="34">
        <f>IF($B192="","",IFERROR(INDEX('ACCOUNT MAP'!$C$6:$C$44,MATCH($B192,'ACCOUNT MAP'!$A$6:$A$44,0)),"! UNMAPPED ACCOUNT"))</f>
        <v/>
      </c>
      <c r="F192" s="21" t="inlineStr">
        <is>
          <t>! UNCLEAR - NEEDS REVIEW</t>
        </is>
      </c>
      <c r="G192" s="34">
        <f>IF($F192="","",IFERROR(INDEX(CATEGORIES!$C$5:$C$49,MATCH($F192,CATEGORIES!$B$5:$B$49,0)),"! UNKNOWN CATEGORY"))</f>
        <v/>
      </c>
      <c r="H192" s="21" t="n"/>
      <c r="I192" s="33" t="n"/>
      <c r="J192" s="35">
        <f>IF($A192="","",YEAR($A192)*100+MONTH($A192))</f>
        <v/>
      </c>
      <c r="K192" s="21" t="inlineStr">
        <is>
          <t>Credit card payment — AMEX BILL PYMT</t>
        </is>
      </c>
    </row>
    <row r="193">
      <c r="A193" s="32" t="n">
        <v>46245</v>
      </c>
      <c r="B193" s="21" t="inlineStr">
        <is>
          <t>EQ - Sole Prop Chequing</t>
        </is>
      </c>
      <c r="C193" s="21" t="inlineStr">
        <is>
          <t>Interac e-Transfer sent to Canadian Tire Bank</t>
        </is>
      </c>
      <c r="D193" s="33" t="n">
        <v>-1755</v>
      </c>
      <c r="E193" s="34">
        <f>IF($B193="","",IFERROR(INDEX('ACCOUNT MAP'!$C$6:$C$44,MATCH($B193,'ACCOUNT MAP'!$A$6:$A$44,0)),"! UNMAPPED ACCOUNT"))</f>
        <v/>
      </c>
      <c r="F193" s="21" t="inlineStr">
        <is>
          <t>! UNCLEAR - NEEDS REVIEW</t>
        </is>
      </c>
      <c r="G193" s="34">
        <f>IF($F193="","",IFERROR(INDEX(CATEGORIES!$C$5:$C$49,MATCH($F193,CATEGORIES!$B$5:$B$49,0)),"! UNKNOWN CATEGORY"))</f>
        <v/>
      </c>
      <c r="H193" s="21" t="n"/>
      <c r="I193" s="33" t="n"/>
      <c r="J193" s="35">
        <f>IF($A193="","",YEAR($A193)*100+MONTH($A193))</f>
        <v/>
      </c>
      <c r="K193" s="21" t="inlineStr">
        <is>
          <t>Credit card payment — Canadian Tire Bank</t>
        </is>
      </c>
    </row>
    <row r="194">
      <c r="A194" s="32" t="n">
        <v>46247</v>
      </c>
      <c r="B194" s="21" t="inlineStr">
        <is>
          <t>EQ - Sole Prop Chequing</t>
        </is>
      </c>
      <c r="C194" s="21" t="inlineStr">
        <is>
          <t>Interac e-Transfer received from  CAROL ANN SAARI</t>
        </is>
      </c>
      <c r="D194" s="33" t="n">
        <v>394</v>
      </c>
      <c r="E194" s="34">
        <f>IF($B194="","",IFERROR(INDEX('ACCOUNT MAP'!$C$6:$C$44,MATCH($B194,'ACCOUNT MAP'!$A$6:$A$44,0)),"! UNMAPPED ACCOUNT"))</f>
        <v/>
      </c>
      <c r="F194" s="21" t="inlineStr">
        <is>
          <t>Client payment received</t>
        </is>
      </c>
      <c r="G194" s="34">
        <f>IF($F194="","",IFERROR(INDEX(CATEGORIES!$C$5:$C$49,MATCH($F194,CATEGORIES!$B$5:$B$49,0)),"! UNKNOWN CATEGORY"))</f>
        <v/>
      </c>
      <c r="H194" s="21" t="n"/>
      <c r="I194" s="33" t="n">
        <v>18.76</v>
      </c>
      <c r="J194" s="35">
        <f>IF($A194="","",YEAR($A194)*100+MONTH($A194))</f>
        <v/>
      </c>
      <c r="K194" s="21" t="inlineStr"/>
    </row>
    <row r="195">
      <c r="A195" s="32" t="n">
        <v>46248</v>
      </c>
      <c r="B195" s="21" t="inlineStr">
        <is>
          <t>EQ - Sole Prop Chequing</t>
        </is>
      </c>
      <c r="C195" s="21" t="inlineStr">
        <is>
          <t>Interac e-Transfer sent to Kierran Kivinen</t>
        </is>
      </c>
      <c r="D195" s="33" t="n">
        <v>-2159.52</v>
      </c>
      <c r="E195" s="34">
        <f>IF($B195="","",IFERROR(INDEX('ACCOUNT MAP'!$C$6:$C$44,MATCH($B195,'ACCOUNT MAP'!$A$6:$A$44,0)),"! UNMAPPED ACCOUNT"))</f>
        <v/>
      </c>
      <c r="F195" s="21" t="inlineStr">
        <is>
          <t>Crew wages (net pay out)</t>
        </is>
      </c>
      <c r="G195" s="34">
        <f>IF($F195="","",IFERROR(INDEX(CATEGORIES!$C$5:$C$49,MATCH($F195,CATEGORIES!$B$5:$B$49,0)),"! UNKNOWN CATEGORY"))</f>
        <v/>
      </c>
      <c r="H195" s="21" t="n"/>
      <c r="I195" s="33" t="n"/>
      <c r="J195" s="35">
        <f>IF($A195="","",YEAR($A195)*100+MONTH($A195))</f>
        <v/>
      </c>
      <c r="K195" s="21" t="inlineStr"/>
    </row>
    <row r="196">
      <c r="A196" s="32" t="n">
        <v>46251</v>
      </c>
      <c r="B196" s="21" t="inlineStr">
        <is>
          <t>EQ - Sole Prop Chequing</t>
        </is>
      </c>
      <c r="C196" s="21" t="inlineStr">
        <is>
          <t>Auto-withdrawal by Gore Mutual</t>
        </is>
      </c>
      <c r="D196" s="33" t="n">
        <v>-93.62</v>
      </c>
      <c r="E196" s="34">
        <f>IF($B196="","",IFERROR(INDEX('ACCOUNT MAP'!$C$6:$C$44,MATCH($B196,'ACCOUNT MAP'!$A$6:$A$44,0)),"! UNMAPPED ACCOUNT"))</f>
        <v/>
      </c>
      <c r="F196" s="21" t="inlineStr">
        <is>
          <t>Liability insurance</t>
        </is>
      </c>
      <c r="G196" s="34">
        <f>IF($F196="","",IFERROR(INDEX(CATEGORIES!$C$5:$C$49,MATCH($F196,CATEGORIES!$B$5:$B$49,0)),"! UNKNOWN CATEGORY"))</f>
        <v/>
      </c>
      <c r="H196" s="21" t="n"/>
      <c r="I196" s="33" t="n"/>
      <c r="J196" s="35">
        <f>IF($A196="","",YEAR($A196)*100+MONTH($A196))</f>
        <v/>
      </c>
      <c r="K196" s="21" t="inlineStr"/>
    </row>
    <row r="197">
      <c r="A197" s="32" t="n">
        <v>46252</v>
      </c>
      <c r="B197" s="21" t="inlineStr">
        <is>
          <t>EQ - Sole Prop Chequing</t>
        </is>
      </c>
      <c r="C197" s="21" t="inlineStr">
        <is>
          <t>Interac e-Transfer sent to Ryan</t>
        </is>
      </c>
      <c r="D197" s="33" t="n">
        <v>-150</v>
      </c>
      <c r="E197" s="34">
        <f>IF($B197="","",IFERROR(INDEX('ACCOUNT MAP'!$C$6:$C$44,MATCH($B197,'ACCOUNT MAP'!$A$6:$A$44,0)),"! UNMAPPED ACCOUNT"))</f>
        <v/>
      </c>
      <c r="F197" s="21" t="inlineStr">
        <is>
          <t>! UNCLEAR - NEEDS REVIEW</t>
        </is>
      </c>
      <c r="G197" s="34">
        <f>IF($F197="","",IFERROR(INDEX(CATEGORIES!$C$5:$C$49,MATCH($F197,CATEGORIES!$B$5:$B$49,0)),"! UNKNOWN CATEGORY"))</f>
        <v/>
      </c>
      <c r="H197" s="21" t="n"/>
      <c r="I197" s="33" t="n"/>
      <c r="J197" s="35">
        <f>IF($A197="","",YEAR($A197)*100+MONTH($A197))</f>
        <v/>
      </c>
      <c r="K197" s="21" t="inlineStr">
        <is>
          <t>? Crew or sub — Ryan</t>
        </is>
      </c>
    </row>
    <row r="198">
      <c r="A198" s="32" t="n">
        <v>46255</v>
      </c>
      <c r="B198" s="21" t="inlineStr">
        <is>
          <t>EQ - Sole Prop Chequing</t>
        </is>
      </c>
      <c r="C198" s="21" t="inlineStr">
        <is>
          <t>Interac e-Transfer sent to Graham</t>
        </is>
      </c>
      <c r="D198" s="33" t="n">
        <v>-74.48999999999999</v>
      </c>
      <c r="E198" s="34">
        <f>IF($B198="","",IFERROR(INDEX('ACCOUNT MAP'!$C$6:$C$44,MATCH($B198,'ACCOUNT MAP'!$A$6:$A$44,0)),"! UNMAPPED ACCOUNT"))</f>
        <v/>
      </c>
      <c r="F198" s="21" t="inlineStr">
        <is>
          <t>! UNCLEAR - NEEDS REVIEW</t>
        </is>
      </c>
      <c r="G198" s="34">
        <f>IF($F198="","",IFERROR(INDEX(CATEGORIES!$C$5:$C$49,MATCH($F198,CATEGORIES!$B$5:$B$49,0)),"! UNKNOWN CATEGORY"))</f>
        <v/>
      </c>
      <c r="H198" s="21" t="n"/>
      <c r="I198" s="33" t="n"/>
      <c r="J198" s="35">
        <f>IF($A198="","",YEAR($A198)*100+MONTH($A198))</f>
        <v/>
      </c>
      <c r="K198" s="21" t="inlineStr">
        <is>
          <t>? Crew or sub — Graham</t>
        </is>
      </c>
    </row>
    <row r="199">
      <c r="A199" s="32" t="n">
        <v>46255</v>
      </c>
      <c r="B199" s="21" t="inlineStr">
        <is>
          <t>EQ - Sole Prop Chequing</t>
        </is>
      </c>
      <c r="C199" s="21" t="inlineStr">
        <is>
          <t>Interac e-Transfer received from  Filomena Giulione</t>
        </is>
      </c>
      <c r="D199" s="33" t="n">
        <v>252</v>
      </c>
      <c r="E199" s="34">
        <f>IF($B199="","",IFERROR(INDEX('ACCOUNT MAP'!$C$6:$C$44,MATCH($B199,'ACCOUNT MAP'!$A$6:$A$44,0)),"! UNMAPPED ACCOUNT"))</f>
        <v/>
      </c>
      <c r="F199" s="21" t="inlineStr">
        <is>
          <t>Client payment received</t>
        </is>
      </c>
      <c r="G199" s="34">
        <f>IF($F199="","",IFERROR(INDEX(CATEGORIES!$C$5:$C$49,MATCH($F199,CATEGORIES!$B$5:$B$49,0)),"! UNKNOWN CATEGORY"))</f>
        <v/>
      </c>
      <c r="H199" s="21" t="n"/>
      <c r="I199" s="33" t="n">
        <v>12</v>
      </c>
      <c r="J199" s="35">
        <f>IF($A199="","",YEAR($A199)*100+MONTH($A199))</f>
        <v/>
      </c>
      <c r="K199" s="21" t="inlineStr"/>
    </row>
    <row r="200">
      <c r="A200" s="32" t="n">
        <v>46255</v>
      </c>
      <c r="B200" s="21" t="inlineStr">
        <is>
          <t>EQ - Sole Prop Chequing</t>
        </is>
      </c>
      <c r="C200" s="21" t="inlineStr">
        <is>
          <t>Interac e-Transfer received from  Filomena Giulione</t>
        </is>
      </c>
      <c r="D200" s="33" t="n">
        <v>672</v>
      </c>
      <c r="E200" s="34">
        <f>IF($B200="","",IFERROR(INDEX('ACCOUNT MAP'!$C$6:$C$44,MATCH($B200,'ACCOUNT MAP'!$A$6:$A$44,0)),"! UNMAPPED ACCOUNT"))</f>
        <v/>
      </c>
      <c r="F200" s="21" t="inlineStr">
        <is>
          <t>Client payment received</t>
        </is>
      </c>
      <c r="G200" s="34">
        <f>IF($F200="","",IFERROR(INDEX(CATEGORIES!$C$5:$C$49,MATCH($F200,CATEGORIES!$B$5:$B$49,0)),"! UNKNOWN CATEGORY"))</f>
        <v/>
      </c>
      <c r="H200" s="21" t="n"/>
      <c r="I200" s="33" t="n">
        <v>32</v>
      </c>
      <c r="J200" s="35">
        <f>IF($A200="","",YEAR($A200)*100+MONTH($A200))</f>
        <v/>
      </c>
      <c r="K200" s="21" t="inlineStr"/>
    </row>
    <row r="201">
      <c r="A201" s="32" t="n">
        <v>46265</v>
      </c>
      <c r="B201" s="21" t="inlineStr">
        <is>
          <t>EQ - Sole Prop Chequing</t>
        </is>
      </c>
      <c r="C201" s="21" t="inlineStr">
        <is>
          <t>Interest received</t>
        </is>
      </c>
      <c r="D201" s="33" t="n">
        <v>131.37</v>
      </c>
      <c r="E201" s="34">
        <f>IF($B201="","",IFERROR(INDEX('ACCOUNT MAP'!$C$6:$C$44,MATCH($B201,'ACCOUNT MAP'!$A$6:$A$44,0)),"! UNMAPPED ACCOUNT"))</f>
        <v/>
      </c>
      <c r="F201" s="21" t="inlineStr">
        <is>
          <t>Other business income</t>
        </is>
      </c>
      <c r="G201" s="34">
        <f>IF($F201="","",IFERROR(INDEX(CATEGORIES!$C$5:$C$49,MATCH($F201,CATEGORIES!$B$5:$B$49,0)),"! UNKNOWN CATEGORY"))</f>
        <v/>
      </c>
      <c r="H201" s="21" t="n"/>
      <c r="I201" s="33" t="n"/>
      <c r="J201" s="35">
        <f>IF($A201="","",YEAR($A201)*100+MONTH($A201))</f>
        <v/>
      </c>
      <c r="K201" s="21" t="inlineStr"/>
    </row>
    <row r="202">
      <c r="A202" s="32" t="n">
        <v>46262</v>
      </c>
      <c r="B202" s="21" t="inlineStr">
        <is>
          <t>EQ - Corporation Chequing</t>
        </is>
      </c>
      <c r="C202" s="21" t="inlineStr">
        <is>
          <t>Mobile cheque deposit</t>
        </is>
      </c>
      <c r="D202" s="33" t="n">
        <v>32000</v>
      </c>
      <c r="E202" s="34">
        <f>IF($B202="","",IFERROR(INDEX('ACCOUNT MAP'!$C$6:$C$44,MATCH($B202,'ACCOUNT MAP'!$A$6:$A$44,0)),"! UNMAPPED ACCOUNT"))</f>
        <v/>
      </c>
      <c r="F202" s="21" t="inlineStr">
        <is>
          <t>Client payment received</t>
        </is>
      </c>
      <c r="G202" s="34">
        <f>IF($F202="","",IFERROR(INDEX(CATEGORIES!$C$5:$C$49,MATCH($F202,CATEGORIES!$B$5:$B$49,0)),"! UNKNOWN CATEGORY"))</f>
        <v/>
      </c>
      <c r="H202" s="21" t="n"/>
      <c r="I202" s="33" t="n">
        <v>1523.81</v>
      </c>
      <c r="J202" s="35">
        <f>IF($A202="","",YEAR($A202)*100+MONTH($A202))</f>
        <v/>
      </c>
      <c r="K202" s="21" t="inlineStr"/>
    </row>
    <row r="203">
      <c r="A203" s="32" t="n">
        <v>46265</v>
      </c>
      <c r="B203" s="21" t="inlineStr">
        <is>
          <t>EQ - Corporation Chequing</t>
        </is>
      </c>
      <c r="C203" s="21" t="inlineStr">
        <is>
          <t>Interac e-Transfer received from  KYLE JOHN BENJAMIN MCCAHILL</t>
        </is>
      </c>
      <c r="D203" s="33" t="n">
        <v>100</v>
      </c>
      <c r="E203" s="34">
        <f>IF($B203="","",IFERROR(INDEX('ACCOUNT MAP'!$C$6:$C$44,MATCH($B203,'ACCOUNT MAP'!$A$6:$A$44,0)),"! UNMAPPED ACCOUNT"))</f>
        <v/>
      </c>
      <c r="F203" s="21" t="inlineStr">
        <is>
          <t>Capital contributed by owner</t>
        </is>
      </c>
      <c r="G203" s="34">
        <f>IF($F203="","",IFERROR(INDEX(CATEGORIES!$C$5:$C$49,MATCH($F203,CATEGORIES!$B$5:$B$49,0)),"! UNKNOWN CATEGORY"))</f>
        <v/>
      </c>
      <c r="H203" s="21" t="n"/>
      <c r="I203" s="33" t="n"/>
      <c r="J203" s="35">
        <f>IF($A203="","",YEAR($A203)*100+MONTH($A203))</f>
        <v/>
      </c>
      <c r="K203" s="21" t="inlineStr"/>
    </row>
    <row r="204">
      <c r="A204" s="32" t="n">
        <v>46265</v>
      </c>
      <c r="B204" s="21" t="inlineStr">
        <is>
          <t>EQ - Corporation Chequing</t>
        </is>
      </c>
      <c r="C204" s="21" t="inlineStr">
        <is>
          <t>Interest received</t>
        </is>
      </c>
      <c r="D204" s="33" t="n">
        <v>7.9</v>
      </c>
      <c r="E204" s="34">
        <f>IF($B204="","",IFERROR(INDEX('ACCOUNT MAP'!$C$6:$C$44,MATCH($B204,'ACCOUNT MAP'!$A$6:$A$44,0)),"! UNMAPPED ACCOUNT"))</f>
        <v/>
      </c>
      <c r="F204" s="21" t="inlineStr">
        <is>
          <t>Other business income</t>
        </is>
      </c>
      <c r="G204" s="34">
        <f>IF($F204="","",IFERROR(INDEX(CATEGORIES!$C$5:$C$49,MATCH($F204,CATEGORIES!$B$5:$B$49,0)),"! UNKNOWN CATEGORY"))</f>
        <v/>
      </c>
      <c r="H204" s="21" t="n"/>
      <c r="I204" s="33" t="n"/>
      <c r="J204" s="35">
        <f>IF($A204="","",YEAR($A204)*100+MONTH($A204))</f>
        <v/>
      </c>
      <c r="K204" s="21" t="inlineStr"/>
    </row>
    <row r="205">
      <c r="A205" s="32" t="n"/>
      <c r="B205" s="21" t="n"/>
      <c r="C205" s="21" t="n"/>
      <c r="D205" s="33" t="n"/>
      <c r="E205" s="34">
        <f>IF($B205="","",IFERROR(INDEX('ACCOUNT MAP'!$C$6:$C$44,MATCH($B205,'ACCOUNT MAP'!$A$6:$A$44,0)),"! UNMAPPED ACCOUNT"))</f>
        <v/>
      </c>
      <c r="F205" s="21" t="n"/>
      <c r="G205" s="34">
        <f>IF($F205="","",IFERROR(INDEX(CATEGORIES!$C$5:$C$49,MATCH($F205,CATEGORIES!$B$5:$B$49,0)),"! UNKNOWN CATEGORY"))</f>
        <v/>
      </c>
      <c r="H205" s="21" t="n"/>
      <c r="I205" s="33" t="n"/>
      <c r="J205" s="35">
        <f>IF($A205="","",YEAR($A205)*100+MONTH($A205))</f>
        <v/>
      </c>
      <c r="K205" s="21" t="n"/>
    </row>
    <row r="206">
      <c r="A206" s="32" t="n"/>
      <c r="B206" s="21" t="n"/>
      <c r="C206" s="21" t="n"/>
      <c r="D206" s="33" t="n"/>
      <c r="E206" s="34">
        <f>IF($B206="","",IFERROR(INDEX('ACCOUNT MAP'!$C$6:$C$44,MATCH($B206,'ACCOUNT MAP'!$A$6:$A$44,0)),"! UNMAPPED ACCOUNT"))</f>
        <v/>
      </c>
      <c r="F206" s="21" t="n"/>
      <c r="G206" s="34">
        <f>IF($F206="","",IFERROR(INDEX(CATEGORIES!$C$5:$C$49,MATCH($F206,CATEGORIES!$B$5:$B$49,0)),"! UNKNOWN CATEGORY"))</f>
        <v/>
      </c>
      <c r="H206" s="21" t="n"/>
      <c r="I206" s="33" t="n"/>
      <c r="J206" s="35">
        <f>IF($A206="","",YEAR($A206)*100+MONTH($A206))</f>
        <v/>
      </c>
      <c r="K206" s="21" t="n"/>
    </row>
    <row r="207">
      <c r="A207" s="32" t="n"/>
      <c r="B207" s="21" t="n"/>
      <c r="C207" s="21" t="n"/>
      <c r="D207" s="33" t="n"/>
      <c r="E207" s="34">
        <f>IF($B207="","",IFERROR(INDEX('ACCOUNT MAP'!$C$6:$C$44,MATCH($B207,'ACCOUNT MAP'!$A$6:$A$44,0)),"! UNMAPPED ACCOUNT"))</f>
        <v/>
      </c>
      <c r="F207" s="21" t="n"/>
      <c r="G207" s="34">
        <f>IF($F207="","",IFERROR(INDEX(CATEGORIES!$C$5:$C$49,MATCH($F207,CATEGORIES!$B$5:$B$49,0)),"! UNKNOWN CATEGORY"))</f>
        <v/>
      </c>
      <c r="H207" s="21" t="n"/>
      <c r="I207" s="33" t="n"/>
      <c r="J207" s="35">
        <f>IF($A207="","",YEAR($A207)*100+MONTH($A207))</f>
        <v/>
      </c>
      <c r="K207" s="21" t="n"/>
    </row>
    <row r="208">
      <c r="A208" s="32" t="n"/>
      <c r="B208" s="21" t="n"/>
      <c r="C208" s="21" t="n"/>
      <c r="D208" s="33" t="n"/>
      <c r="E208" s="34">
        <f>IF($B208="","",IFERROR(INDEX('ACCOUNT MAP'!$C$6:$C$44,MATCH($B208,'ACCOUNT MAP'!$A$6:$A$44,0)),"! UNMAPPED ACCOUNT"))</f>
        <v/>
      </c>
      <c r="F208" s="21" t="n"/>
      <c r="G208" s="34">
        <f>IF($F208="","",IFERROR(INDEX(CATEGORIES!$C$5:$C$49,MATCH($F208,CATEGORIES!$B$5:$B$49,0)),"! UNKNOWN CATEGORY"))</f>
        <v/>
      </c>
      <c r="H208" s="21" t="n"/>
      <c r="I208" s="33" t="n"/>
      <c r="J208" s="35">
        <f>IF($A208="","",YEAR($A208)*100+MONTH($A208))</f>
        <v/>
      </c>
      <c r="K208" s="21" t="n"/>
    </row>
    <row r="209">
      <c r="A209" s="32" t="n"/>
      <c r="B209" s="21" t="n"/>
      <c r="C209" s="21" t="n"/>
      <c r="D209" s="33" t="n"/>
      <c r="E209" s="34">
        <f>IF($B209="","",IFERROR(INDEX('ACCOUNT MAP'!$C$6:$C$44,MATCH($B209,'ACCOUNT MAP'!$A$6:$A$44,0)),"! UNMAPPED ACCOUNT"))</f>
        <v/>
      </c>
      <c r="F209" s="21" t="n"/>
      <c r="G209" s="34">
        <f>IF($F209="","",IFERROR(INDEX(CATEGORIES!$C$5:$C$49,MATCH($F209,CATEGORIES!$B$5:$B$49,0)),"! UNKNOWN CATEGORY"))</f>
        <v/>
      </c>
      <c r="H209" s="21" t="n"/>
      <c r="I209" s="33" t="n"/>
      <c r="J209" s="35">
        <f>IF($A209="","",YEAR($A209)*100+MONTH($A209))</f>
        <v/>
      </c>
      <c r="K209" s="21" t="n"/>
    </row>
    <row r="210">
      <c r="A210" s="32" t="n"/>
      <c r="B210" s="21" t="n"/>
      <c r="C210" s="21" t="n"/>
      <c r="D210" s="33" t="n"/>
      <c r="E210" s="34">
        <f>IF($B210="","",IFERROR(INDEX('ACCOUNT MAP'!$C$6:$C$44,MATCH($B210,'ACCOUNT MAP'!$A$6:$A$44,0)),"! UNMAPPED ACCOUNT"))</f>
        <v/>
      </c>
      <c r="F210" s="21" t="n"/>
      <c r="G210" s="34">
        <f>IF($F210="","",IFERROR(INDEX(CATEGORIES!$C$5:$C$49,MATCH($F210,CATEGORIES!$B$5:$B$49,0)),"! UNKNOWN CATEGORY"))</f>
        <v/>
      </c>
      <c r="H210" s="21" t="n"/>
      <c r="I210" s="33" t="n"/>
      <c r="J210" s="35">
        <f>IF($A210="","",YEAR($A210)*100+MONTH($A210))</f>
        <v/>
      </c>
      <c r="K210" s="21" t="n"/>
    </row>
    <row r="211">
      <c r="A211" s="32" t="n"/>
      <c r="B211" s="21" t="n"/>
      <c r="C211" s="21" t="n"/>
      <c r="D211" s="33" t="n"/>
      <c r="E211" s="34">
        <f>IF($B211="","",IFERROR(INDEX('ACCOUNT MAP'!$C$6:$C$44,MATCH($B211,'ACCOUNT MAP'!$A$6:$A$44,0)),"! UNMAPPED ACCOUNT"))</f>
        <v/>
      </c>
      <c r="F211" s="21" t="n"/>
      <c r="G211" s="34">
        <f>IF($F211="","",IFERROR(INDEX(CATEGORIES!$C$5:$C$49,MATCH($F211,CATEGORIES!$B$5:$B$49,0)),"! UNKNOWN CATEGORY"))</f>
        <v/>
      </c>
      <c r="H211" s="21" t="n"/>
      <c r="I211" s="33" t="n"/>
      <c r="J211" s="35">
        <f>IF($A211="","",YEAR($A211)*100+MONTH($A211))</f>
        <v/>
      </c>
      <c r="K211" s="21" t="n"/>
    </row>
    <row r="212">
      <c r="A212" s="32" t="n"/>
      <c r="B212" s="21" t="n"/>
      <c r="C212" s="21" t="n"/>
      <c r="D212" s="33" t="n"/>
      <c r="E212" s="34">
        <f>IF($B212="","",IFERROR(INDEX('ACCOUNT MAP'!$C$6:$C$44,MATCH($B212,'ACCOUNT MAP'!$A$6:$A$44,0)),"! UNMAPPED ACCOUNT"))</f>
        <v/>
      </c>
      <c r="F212" s="21" t="n"/>
      <c r="G212" s="34">
        <f>IF($F212="","",IFERROR(INDEX(CATEGORIES!$C$5:$C$49,MATCH($F212,CATEGORIES!$B$5:$B$49,0)),"! UNKNOWN CATEGORY"))</f>
        <v/>
      </c>
      <c r="H212" s="21" t="n"/>
      <c r="I212" s="33" t="n"/>
      <c r="J212" s="35">
        <f>IF($A212="","",YEAR($A212)*100+MONTH($A212))</f>
        <v/>
      </c>
      <c r="K212" s="21" t="n"/>
    </row>
    <row r="213">
      <c r="A213" s="32" t="n"/>
      <c r="B213" s="21" t="n"/>
      <c r="C213" s="21" t="n"/>
      <c r="D213" s="33" t="n"/>
      <c r="E213" s="34">
        <f>IF($B213="","",IFERROR(INDEX('ACCOUNT MAP'!$C$6:$C$44,MATCH($B213,'ACCOUNT MAP'!$A$6:$A$44,0)),"! UNMAPPED ACCOUNT"))</f>
        <v/>
      </c>
      <c r="F213" s="21" t="n"/>
      <c r="G213" s="34">
        <f>IF($F213="","",IFERROR(INDEX(CATEGORIES!$C$5:$C$49,MATCH($F213,CATEGORIES!$B$5:$B$49,0)),"! UNKNOWN CATEGORY"))</f>
        <v/>
      </c>
      <c r="H213" s="21" t="n"/>
      <c r="I213" s="33" t="n"/>
      <c r="J213" s="35">
        <f>IF($A213="","",YEAR($A213)*100+MONTH($A213))</f>
        <v/>
      </c>
      <c r="K213" s="21" t="n"/>
    </row>
    <row r="214">
      <c r="A214" s="32" t="n"/>
      <c r="B214" s="21" t="n"/>
      <c r="C214" s="21" t="n"/>
      <c r="D214" s="33" t="n"/>
      <c r="E214" s="34">
        <f>IF($B214="","",IFERROR(INDEX('ACCOUNT MAP'!$C$6:$C$44,MATCH($B214,'ACCOUNT MAP'!$A$6:$A$44,0)),"! UNMAPPED ACCOUNT"))</f>
        <v/>
      </c>
      <c r="F214" s="21" t="n"/>
      <c r="G214" s="34">
        <f>IF($F214="","",IFERROR(INDEX(CATEGORIES!$C$5:$C$49,MATCH($F214,CATEGORIES!$B$5:$B$49,0)),"! UNKNOWN CATEGORY"))</f>
        <v/>
      </c>
      <c r="H214" s="21" t="n"/>
      <c r="I214" s="33" t="n"/>
      <c r="J214" s="35">
        <f>IF($A214="","",YEAR($A214)*100+MONTH($A214))</f>
        <v/>
      </c>
      <c r="K214" s="21" t="n"/>
    </row>
    <row r="215">
      <c r="A215" s="32" t="n"/>
      <c r="B215" s="21" t="n"/>
      <c r="C215" s="21" t="n"/>
      <c r="D215" s="33" t="n"/>
      <c r="E215" s="34">
        <f>IF($B215="","",IFERROR(INDEX('ACCOUNT MAP'!$C$6:$C$44,MATCH($B215,'ACCOUNT MAP'!$A$6:$A$44,0)),"! UNMAPPED ACCOUNT"))</f>
        <v/>
      </c>
      <c r="F215" s="21" t="n"/>
      <c r="G215" s="34">
        <f>IF($F215="","",IFERROR(INDEX(CATEGORIES!$C$5:$C$49,MATCH($F215,CATEGORIES!$B$5:$B$49,0)),"! UNKNOWN CATEGORY"))</f>
        <v/>
      </c>
      <c r="H215" s="21" t="n"/>
      <c r="I215" s="33" t="n"/>
      <c r="J215" s="35">
        <f>IF($A215="","",YEAR($A215)*100+MONTH($A215))</f>
        <v/>
      </c>
      <c r="K215" s="21" t="n"/>
    </row>
    <row r="216">
      <c r="A216" s="32" t="n"/>
      <c r="B216" s="21" t="n"/>
      <c r="C216" s="21" t="n"/>
      <c r="D216" s="33" t="n"/>
      <c r="E216" s="34">
        <f>IF($B216="","",IFERROR(INDEX('ACCOUNT MAP'!$C$6:$C$44,MATCH($B216,'ACCOUNT MAP'!$A$6:$A$44,0)),"! UNMAPPED ACCOUNT"))</f>
        <v/>
      </c>
      <c r="F216" s="21" t="n"/>
      <c r="G216" s="34">
        <f>IF($F216="","",IFERROR(INDEX(CATEGORIES!$C$5:$C$49,MATCH($F216,CATEGORIES!$B$5:$B$49,0)),"! UNKNOWN CATEGORY"))</f>
        <v/>
      </c>
      <c r="H216" s="21" t="n"/>
      <c r="I216" s="33" t="n"/>
      <c r="J216" s="35">
        <f>IF($A216="","",YEAR($A216)*100+MONTH($A216))</f>
        <v/>
      </c>
      <c r="K216" s="21" t="n"/>
    </row>
    <row r="217">
      <c r="A217" s="32" t="n"/>
      <c r="B217" s="21" t="n"/>
      <c r="C217" s="21" t="n"/>
      <c r="D217" s="33" t="n"/>
      <c r="E217" s="34">
        <f>IF($B217="","",IFERROR(INDEX('ACCOUNT MAP'!$C$6:$C$44,MATCH($B217,'ACCOUNT MAP'!$A$6:$A$44,0)),"! UNMAPPED ACCOUNT"))</f>
        <v/>
      </c>
      <c r="F217" s="21" t="n"/>
      <c r="G217" s="34">
        <f>IF($F217="","",IFERROR(INDEX(CATEGORIES!$C$5:$C$49,MATCH($F217,CATEGORIES!$B$5:$B$49,0)),"! UNKNOWN CATEGORY"))</f>
        <v/>
      </c>
      <c r="H217" s="21" t="n"/>
      <c r="I217" s="33" t="n"/>
      <c r="J217" s="35">
        <f>IF($A217="","",YEAR($A217)*100+MONTH($A217))</f>
        <v/>
      </c>
      <c r="K217" s="21" t="n"/>
    </row>
    <row r="218">
      <c r="A218" s="32" t="n"/>
      <c r="B218" s="21" t="n"/>
      <c r="C218" s="21" t="n"/>
      <c r="D218" s="33" t="n"/>
      <c r="E218" s="34">
        <f>IF($B218="","",IFERROR(INDEX('ACCOUNT MAP'!$C$6:$C$44,MATCH($B218,'ACCOUNT MAP'!$A$6:$A$44,0)),"! UNMAPPED ACCOUNT"))</f>
        <v/>
      </c>
      <c r="F218" s="21" t="n"/>
      <c r="G218" s="34">
        <f>IF($F218="","",IFERROR(INDEX(CATEGORIES!$C$5:$C$49,MATCH($F218,CATEGORIES!$B$5:$B$49,0)),"! UNKNOWN CATEGORY"))</f>
        <v/>
      </c>
      <c r="H218" s="21" t="n"/>
      <c r="I218" s="33" t="n"/>
      <c r="J218" s="35">
        <f>IF($A218="","",YEAR($A218)*100+MONTH($A218))</f>
        <v/>
      </c>
      <c r="K218" s="21" t="n"/>
    </row>
    <row r="219">
      <c r="A219" s="32" t="n"/>
      <c r="B219" s="21" t="n"/>
      <c r="C219" s="21" t="n"/>
      <c r="D219" s="33" t="n"/>
      <c r="E219" s="34">
        <f>IF($B219="","",IFERROR(INDEX('ACCOUNT MAP'!$C$6:$C$44,MATCH($B219,'ACCOUNT MAP'!$A$6:$A$44,0)),"! UNMAPPED ACCOUNT"))</f>
        <v/>
      </c>
      <c r="F219" s="21" t="n"/>
      <c r="G219" s="34">
        <f>IF($F219="","",IFERROR(INDEX(CATEGORIES!$C$5:$C$49,MATCH($F219,CATEGORIES!$B$5:$B$49,0)),"! UNKNOWN CATEGORY"))</f>
        <v/>
      </c>
      <c r="H219" s="21" t="n"/>
      <c r="I219" s="33" t="n"/>
      <c r="J219" s="35">
        <f>IF($A219="","",YEAR($A219)*100+MONTH($A219))</f>
        <v/>
      </c>
      <c r="K219" s="21" t="n"/>
    </row>
    <row r="220">
      <c r="A220" s="32" t="n"/>
      <c r="B220" s="21" t="n"/>
      <c r="C220" s="21" t="n"/>
      <c r="D220" s="33" t="n"/>
      <c r="E220" s="34">
        <f>IF($B220="","",IFERROR(INDEX('ACCOUNT MAP'!$C$6:$C$44,MATCH($B220,'ACCOUNT MAP'!$A$6:$A$44,0)),"! UNMAPPED ACCOUNT"))</f>
        <v/>
      </c>
      <c r="F220" s="21" t="n"/>
      <c r="G220" s="34">
        <f>IF($F220="","",IFERROR(INDEX(CATEGORIES!$C$5:$C$49,MATCH($F220,CATEGORIES!$B$5:$B$49,0)),"! UNKNOWN CATEGORY"))</f>
        <v/>
      </c>
      <c r="H220" s="21" t="n"/>
      <c r="I220" s="33" t="n"/>
      <c r="J220" s="35">
        <f>IF($A220="","",YEAR($A220)*100+MONTH($A220))</f>
        <v/>
      </c>
      <c r="K220" s="21" t="n"/>
    </row>
    <row r="221">
      <c r="A221" s="32" t="n"/>
      <c r="B221" s="21" t="n"/>
      <c r="C221" s="21" t="n"/>
      <c r="D221" s="33" t="n"/>
      <c r="E221" s="34">
        <f>IF($B221="","",IFERROR(INDEX('ACCOUNT MAP'!$C$6:$C$44,MATCH($B221,'ACCOUNT MAP'!$A$6:$A$44,0)),"! UNMAPPED ACCOUNT"))</f>
        <v/>
      </c>
      <c r="F221" s="21" t="n"/>
      <c r="G221" s="34">
        <f>IF($F221="","",IFERROR(INDEX(CATEGORIES!$C$5:$C$49,MATCH($F221,CATEGORIES!$B$5:$B$49,0)),"! UNKNOWN CATEGORY"))</f>
        <v/>
      </c>
      <c r="H221" s="21" t="n"/>
      <c r="I221" s="33" t="n"/>
      <c r="J221" s="35">
        <f>IF($A221="","",YEAR($A221)*100+MONTH($A221))</f>
        <v/>
      </c>
      <c r="K221" s="21" t="n"/>
    </row>
    <row r="222">
      <c r="A222" s="32" t="n"/>
      <c r="B222" s="21" t="n"/>
      <c r="C222" s="21" t="n"/>
      <c r="D222" s="33" t="n"/>
      <c r="E222" s="34">
        <f>IF($B222="","",IFERROR(INDEX('ACCOUNT MAP'!$C$6:$C$44,MATCH($B222,'ACCOUNT MAP'!$A$6:$A$44,0)),"! UNMAPPED ACCOUNT"))</f>
        <v/>
      </c>
      <c r="F222" s="21" t="n"/>
      <c r="G222" s="34">
        <f>IF($F222="","",IFERROR(INDEX(CATEGORIES!$C$5:$C$49,MATCH($F222,CATEGORIES!$B$5:$B$49,0)),"! UNKNOWN CATEGORY"))</f>
        <v/>
      </c>
      <c r="H222" s="21" t="n"/>
      <c r="I222" s="33" t="n"/>
      <c r="J222" s="35">
        <f>IF($A222="","",YEAR($A222)*100+MONTH($A222))</f>
        <v/>
      </c>
      <c r="K222" s="21" t="n"/>
    </row>
    <row r="223">
      <c r="A223" s="32" t="n"/>
      <c r="B223" s="21" t="n"/>
      <c r="C223" s="21" t="n"/>
      <c r="D223" s="33" t="n"/>
      <c r="E223" s="34">
        <f>IF($B223="","",IFERROR(INDEX('ACCOUNT MAP'!$C$6:$C$44,MATCH($B223,'ACCOUNT MAP'!$A$6:$A$44,0)),"! UNMAPPED ACCOUNT"))</f>
        <v/>
      </c>
      <c r="F223" s="21" t="n"/>
      <c r="G223" s="34">
        <f>IF($F223="","",IFERROR(INDEX(CATEGORIES!$C$5:$C$49,MATCH($F223,CATEGORIES!$B$5:$B$49,0)),"! UNKNOWN CATEGORY"))</f>
        <v/>
      </c>
      <c r="H223" s="21" t="n"/>
      <c r="I223" s="33" t="n"/>
      <c r="J223" s="35">
        <f>IF($A223="","",YEAR($A223)*100+MONTH($A223))</f>
        <v/>
      </c>
      <c r="K223" s="21" t="n"/>
    </row>
    <row r="224">
      <c r="A224" s="32" t="n"/>
      <c r="B224" s="21" t="n"/>
      <c r="C224" s="21" t="n"/>
      <c r="D224" s="33" t="n"/>
      <c r="E224" s="34">
        <f>IF($B224="","",IFERROR(INDEX('ACCOUNT MAP'!$C$6:$C$44,MATCH($B224,'ACCOUNT MAP'!$A$6:$A$44,0)),"! UNMAPPED ACCOUNT"))</f>
        <v/>
      </c>
      <c r="F224" s="21" t="n"/>
      <c r="G224" s="34">
        <f>IF($F224="","",IFERROR(INDEX(CATEGORIES!$C$5:$C$49,MATCH($F224,CATEGORIES!$B$5:$B$49,0)),"! UNKNOWN CATEGORY"))</f>
        <v/>
      </c>
      <c r="H224" s="21" t="n"/>
      <c r="I224" s="33" t="n"/>
      <c r="J224" s="35">
        <f>IF($A224="","",YEAR($A224)*100+MONTH($A224))</f>
        <v/>
      </c>
      <c r="K224" s="21" t="n"/>
    </row>
    <row r="225">
      <c r="A225" s="32" t="n"/>
      <c r="B225" s="21" t="n"/>
      <c r="C225" s="21" t="n"/>
      <c r="D225" s="33" t="n"/>
      <c r="E225" s="34">
        <f>IF($B225="","",IFERROR(INDEX('ACCOUNT MAP'!$C$6:$C$44,MATCH($B225,'ACCOUNT MAP'!$A$6:$A$44,0)),"! UNMAPPED ACCOUNT"))</f>
        <v/>
      </c>
      <c r="F225" s="21" t="n"/>
      <c r="G225" s="34">
        <f>IF($F225="","",IFERROR(INDEX(CATEGORIES!$C$5:$C$49,MATCH($F225,CATEGORIES!$B$5:$B$49,0)),"! UNKNOWN CATEGORY"))</f>
        <v/>
      </c>
      <c r="H225" s="21" t="n"/>
      <c r="I225" s="33" t="n"/>
      <c r="J225" s="35">
        <f>IF($A225="","",YEAR($A225)*100+MONTH($A225))</f>
        <v/>
      </c>
      <c r="K225" s="21" t="n"/>
    </row>
    <row r="226">
      <c r="A226" s="32" t="n"/>
      <c r="B226" s="21" t="n"/>
      <c r="C226" s="21" t="n"/>
      <c r="D226" s="33" t="n"/>
      <c r="E226" s="34">
        <f>IF($B226="","",IFERROR(INDEX('ACCOUNT MAP'!$C$6:$C$44,MATCH($B226,'ACCOUNT MAP'!$A$6:$A$44,0)),"! UNMAPPED ACCOUNT"))</f>
        <v/>
      </c>
      <c r="F226" s="21" t="n"/>
      <c r="G226" s="34">
        <f>IF($F226="","",IFERROR(INDEX(CATEGORIES!$C$5:$C$49,MATCH($F226,CATEGORIES!$B$5:$B$49,0)),"! UNKNOWN CATEGORY"))</f>
        <v/>
      </c>
      <c r="H226" s="21" t="n"/>
      <c r="I226" s="33" t="n"/>
      <c r="J226" s="35">
        <f>IF($A226="","",YEAR($A226)*100+MONTH($A226))</f>
        <v/>
      </c>
      <c r="K226" s="21" t="n"/>
    </row>
    <row r="227">
      <c r="A227" s="32" t="n"/>
      <c r="B227" s="21" t="n"/>
      <c r="C227" s="21" t="n"/>
      <c r="D227" s="33" t="n"/>
      <c r="E227" s="34">
        <f>IF($B227="","",IFERROR(INDEX('ACCOUNT MAP'!$C$6:$C$44,MATCH($B227,'ACCOUNT MAP'!$A$6:$A$44,0)),"! UNMAPPED ACCOUNT"))</f>
        <v/>
      </c>
      <c r="F227" s="21" t="n"/>
      <c r="G227" s="34">
        <f>IF($F227="","",IFERROR(INDEX(CATEGORIES!$C$5:$C$49,MATCH($F227,CATEGORIES!$B$5:$B$49,0)),"! UNKNOWN CATEGORY"))</f>
        <v/>
      </c>
      <c r="H227" s="21" t="n"/>
      <c r="I227" s="33" t="n"/>
      <c r="J227" s="35">
        <f>IF($A227="","",YEAR($A227)*100+MONTH($A227))</f>
        <v/>
      </c>
      <c r="K227" s="21" t="n"/>
    </row>
    <row r="228">
      <c r="A228" s="32" t="n"/>
      <c r="B228" s="21" t="n"/>
      <c r="C228" s="21" t="n"/>
      <c r="D228" s="33" t="n"/>
      <c r="E228" s="34">
        <f>IF($B228="","",IFERROR(INDEX('ACCOUNT MAP'!$C$6:$C$44,MATCH($B228,'ACCOUNT MAP'!$A$6:$A$44,0)),"! UNMAPPED ACCOUNT"))</f>
        <v/>
      </c>
      <c r="F228" s="21" t="n"/>
      <c r="G228" s="34">
        <f>IF($F228="","",IFERROR(INDEX(CATEGORIES!$C$5:$C$49,MATCH($F228,CATEGORIES!$B$5:$B$49,0)),"! UNKNOWN CATEGORY"))</f>
        <v/>
      </c>
      <c r="H228" s="21" t="n"/>
      <c r="I228" s="33" t="n"/>
      <c r="J228" s="35">
        <f>IF($A228="","",YEAR($A228)*100+MONTH($A228))</f>
        <v/>
      </c>
      <c r="K228" s="21" t="n"/>
    </row>
    <row r="229">
      <c r="A229" s="32" t="n"/>
      <c r="B229" s="21" t="n"/>
      <c r="C229" s="21" t="n"/>
      <c r="D229" s="33" t="n"/>
      <c r="E229" s="34">
        <f>IF($B229="","",IFERROR(INDEX('ACCOUNT MAP'!$C$6:$C$44,MATCH($B229,'ACCOUNT MAP'!$A$6:$A$44,0)),"! UNMAPPED ACCOUNT"))</f>
        <v/>
      </c>
      <c r="F229" s="21" t="n"/>
      <c r="G229" s="34">
        <f>IF($F229="","",IFERROR(INDEX(CATEGORIES!$C$5:$C$49,MATCH($F229,CATEGORIES!$B$5:$B$49,0)),"! UNKNOWN CATEGORY"))</f>
        <v/>
      </c>
      <c r="H229" s="21" t="n"/>
      <c r="I229" s="33" t="n"/>
      <c r="J229" s="35">
        <f>IF($A229="","",YEAR($A229)*100+MONTH($A229))</f>
        <v/>
      </c>
      <c r="K229" s="21" t="n"/>
    </row>
    <row r="230">
      <c r="A230" s="32" t="n"/>
      <c r="B230" s="21" t="n"/>
      <c r="C230" s="21" t="n"/>
      <c r="D230" s="33" t="n"/>
      <c r="E230" s="34">
        <f>IF($B230="","",IFERROR(INDEX('ACCOUNT MAP'!$C$6:$C$44,MATCH($B230,'ACCOUNT MAP'!$A$6:$A$44,0)),"! UNMAPPED ACCOUNT"))</f>
        <v/>
      </c>
      <c r="F230" s="21" t="n"/>
      <c r="G230" s="34">
        <f>IF($F230="","",IFERROR(INDEX(CATEGORIES!$C$5:$C$49,MATCH($F230,CATEGORIES!$B$5:$B$49,0)),"! UNKNOWN CATEGORY"))</f>
        <v/>
      </c>
      <c r="H230" s="21" t="n"/>
      <c r="I230" s="33" t="n"/>
      <c r="J230" s="35">
        <f>IF($A230="","",YEAR($A230)*100+MONTH($A230))</f>
        <v/>
      </c>
      <c r="K230" s="21" t="n"/>
    </row>
    <row r="231">
      <c r="A231" s="32" t="n"/>
      <c r="B231" s="21" t="n"/>
      <c r="C231" s="21" t="n"/>
      <c r="D231" s="33" t="n"/>
      <c r="E231" s="34">
        <f>IF($B231="","",IFERROR(INDEX('ACCOUNT MAP'!$C$6:$C$44,MATCH($B231,'ACCOUNT MAP'!$A$6:$A$44,0)),"! UNMAPPED ACCOUNT"))</f>
        <v/>
      </c>
      <c r="F231" s="21" t="n"/>
      <c r="G231" s="34">
        <f>IF($F231="","",IFERROR(INDEX(CATEGORIES!$C$5:$C$49,MATCH($F231,CATEGORIES!$B$5:$B$49,0)),"! UNKNOWN CATEGORY"))</f>
        <v/>
      </c>
      <c r="H231" s="21" t="n"/>
      <c r="I231" s="33" t="n"/>
      <c r="J231" s="35">
        <f>IF($A231="","",YEAR($A231)*100+MONTH($A231))</f>
        <v/>
      </c>
      <c r="K231" s="21" t="n"/>
    </row>
    <row r="232">
      <c r="A232" s="32" t="n"/>
      <c r="B232" s="21" t="n"/>
      <c r="C232" s="21" t="n"/>
      <c r="D232" s="33" t="n"/>
      <c r="E232" s="34">
        <f>IF($B232="","",IFERROR(INDEX('ACCOUNT MAP'!$C$6:$C$44,MATCH($B232,'ACCOUNT MAP'!$A$6:$A$44,0)),"! UNMAPPED ACCOUNT"))</f>
        <v/>
      </c>
      <c r="F232" s="21" t="n"/>
      <c r="G232" s="34">
        <f>IF($F232="","",IFERROR(INDEX(CATEGORIES!$C$5:$C$49,MATCH($F232,CATEGORIES!$B$5:$B$49,0)),"! UNKNOWN CATEGORY"))</f>
        <v/>
      </c>
      <c r="H232" s="21" t="n"/>
      <c r="I232" s="33" t="n"/>
      <c r="J232" s="35">
        <f>IF($A232="","",YEAR($A232)*100+MONTH($A232))</f>
        <v/>
      </c>
      <c r="K232" s="21" t="n"/>
    </row>
    <row r="233">
      <c r="A233" s="32" t="n"/>
      <c r="B233" s="21" t="n"/>
      <c r="C233" s="21" t="n"/>
      <c r="D233" s="33" t="n"/>
      <c r="E233" s="34">
        <f>IF($B233="","",IFERROR(INDEX('ACCOUNT MAP'!$C$6:$C$44,MATCH($B233,'ACCOUNT MAP'!$A$6:$A$44,0)),"! UNMAPPED ACCOUNT"))</f>
        <v/>
      </c>
      <c r="F233" s="21" t="n"/>
      <c r="G233" s="34">
        <f>IF($F233="","",IFERROR(INDEX(CATEGORIES!$C$5:$C$49,MATCH($F233,CATEGORIES!$B$5:$B$49,0)),"! UNKNOWN CATEGORY"))</f>
        <v/>
      </c>
      <c r="H233" s="21" t="n"/>
      <c r="I233" s="33" t="n"/>
      <c r="J233" s="35">
        <f>IF($A233="","",YEAR($A233)*100+MONTH($A233))</f>
        <v/>
      </c>
      <c r="K233" s="21" t="n"/>
    </row>
    <row r="234">
      <c r="A234" s="32" t="n"/>
      <c r="B234" s="21" t="n"/>
      <c r="C234" s="21" t="n"/>
      <c r="D234" s="33" t="n"/>
      <c r="E234" s="34">
        <f>IF($B234="","",IFERROR(INDEX('ACCOUNT MAP'!$C$6:$C$44,MATCH($B234,'ACCOUNT MAP'!$A$6:$A$44,0)),"! UNMAPPED ACCOUNT"))</f>
        <v/>
      </c>
      <c r="F234" s="21" t="n"/>
      <c r="G234" s="34">
        <f>IF($F234="","",IFERROR(INDEX(CATEGORIES!$C$5:$C$49,MATCH($F234,CATEGORIES!$B$5:$B$49,0)),"! UNKNOWN CATEGORY"))</f>
        <v/>
      </c>
      <c r="H234" s="21" t="n"/>
      <c r="I234" s="33" t="n"/>
      <c r="J234" s="35">
        <f>IF($A234="","",YEAR($A234)*100+MONTH($A234))</f>
        <v/>
      </c>
      <c r="K234" s="21" t="n"/>
    </row>
    <row r="235">
      <c r="A235" s="32" t="n"/>
      <c r="B235" s="21" t="n"/>
      <c r="C235" s="21" t="n"/>
      <c r="D235" s="33" t="n"/>
      <c r="E235" s="34">
        <f>IF($B235="","",IFERROR(INDEX('ACCOUNT MAP'!$C$6:$C$44,MATCH($B235,'ACCOUNT MAP'!$A$6:$A$44,0)),"! UNMAPPED ACCOUNT"))</f>
        <v/>
      </c>
      <c r="F235" s="21" t="n"/>
      <c r="G235" s="34">
        <f>IF($F235="","",IFERROR(INDEX(CATEGORIES!$C$5:$C$49,MATCH($F235,CATEGORIES!$B$5:$B$49,0)),"! UNKNOWN CATEGORY"))</f>
        <v/>
      </c>
      <c r="H235" s="21" t="n"/>
      <c r="I235" s="33" t="n"/>
      <c r="J235" s="35">
        <f>IF($A235="","",YEAR($A235)*100+MONTH($A235))</f>
        <v/>
      </c>
      <c r="K235" s="21" t="n"/>
    </row>
    <row r="236">
      <c r="A236" s="32" t="n"/>
      <c r="B236" s="21" t="n"/>
      <c r="C236" s="21" t="n"/>
      <c r="D236" s="33" t="n"/>
      <c r="E236" s="34">
        <f>IF($B236="","",IFERROR(INDEX('ACCOUNT MAP'!$C$6:$C$44,MATCH($B236,'ACCOUNT MAP'!$A$6:$A$44,0)),"! UNMAPPED ACCOUNT"))</f>
        <v/>
      </c>
      <c r="F236" s="21" t="n"/>
      <c r="G236" s="34">
        <f>IF($F236="","",IFERROR(INDEX(CATEGORIES!$C$5:$C$49,MATCH($F236,CATEGORIES!$B$5:$B$49,0)),"! UNKNOWN CATEGORY"))</f>
        <v/>
      </c>
      <c r="H236" s="21" t="n"/>
      <c r="I236" s="33" t="n"/>
      <c r="J236" s="35">
        <f>IF($A236="","",YEAR($A236)*100+MONTH($A236))</f>
        <v/>
      </c>
      <c r="K236" s="21" t="n"/>
    </row>
    <row r="237">
      <c r="A237" s="32" t="n"/>
      <c r="B237" s="21" t="n"/>
      <c r="C237" s="21" t="n"/>
      <c r="D237" s="33" t="n"/>
      <c r="E237" s="34">
        <f>IF($B237="","",IFERROR(INDEX('ACCOUNT MAP'!$C$6:$C$44,MATCH($B237,'ACCOUNT MAP'!$A$6:$A$44,0)),"! UNMAPPED ACCOUNT"))</f>
        <v/>
      </c>
      <c r="F237" s="21" t="n"/>
      <c r="G237" s="34">
        <f>IF($F237="","",IFERROR(INDEX(CATEGORIES!$C$5:$C$49,MATCH($F237,CATEGORIES!$B$5:$B$49,0)),"! UNKNOWN CATEGORY"))</f>
        <v/>
      </c>
      <c r="H237" s="21" t="n"/>
      <c r="I237" s="33" t="n"/>
      <c r="J237" s="35">
        <f>IF($A237="","",YEAR($A237)*100+MONTH($A237))</f>
        <v/>
      </c>
      <c r="K237" s="21" t="n"/>
    </row>
    <row r="238">
      <c r="A238" s="32" t="n"/>
      <c r="B238" s="21" t="n"/>
      <c r="C238" s="21" t="n"/>
      <c r="D238" s="33" t="n"/>
      <c r="E238" s="34">
        <f>IF($B238="","",IFERROR(INDEX('ACCOUNT MAP'!$C$6:$C$44,MATCH($B238,'ACCOUNT MAP'!$A$6:$A$44,0)),"! UNMAPPED ACCOUNT"))</f>
        <v/>
      </c>
      <c r="F238" s="21" t="n"/>
      <c r="G238" s="34">
        <f>IF($F238="","",IFERROR(INDEX(CATEGORIES!$C$5:$C$49,MATCH($F238,CATEGORIES!$B$5:$B$49,0)),"! UNKNOWN CATEGORY"))</f>
        <v/>
      </c>
      <c r="H238" s="21" t="n"/>
      <c r="I238" s="33" t="n"/>
      <c r="J238" s="35">
        <f>IF($A238="","",YEAR($A238)*100+MONTH($A238))</f>
        <v/>
      </c>
      <c r="K238" s="21" t="n"/>
    </row>
    <row r="239">
      <c r="A239" s="32" t="n"/>
      <c r="B239" s="21" t="n"/>
      <c r="C239" s="21" t="n"/>
      <c r="D239" s="33" t="n"/>
      <c r="E239" s="34">
        <f>IF($B239="","",IFERROR(INDEX('ACCOUNT MAP'!$C$6:$C$44,MATCH($B239,'ACCOUNT MAP'!$A$6:$A$44,0)),"! UNMAPPED ACCOUNT"))</f>
        <v/>
      </c>
      <c r="F239" s="21" t="n"/>
      <c r="G239" s="34">
        <f>IF($F239="","",IFERROR(INDEX(CATEGORIES!$C$5:$C$49,MATCH($F239,CATEGORIES!$B$5:$B$49,0)),"! UNKNOWN CATEGORY"))</f>
        <v/>
      </c>
      <c r="H239" s="21" t="n"/>
      <c r="I239" s="33" t="n"/>
      <c r="J239" s="35">
        <f>IF($A239="","",YEAR($A239)*100+MONTH($A239))</f>
        <v/>
      </c>
      <c r="K239" s="21" t="n"/>
    </row>
    <row r="240">
      <c r="A240" s="32" t="n"/>
      <c r="B240" s="21" t="n"/>
      <c r="C240" s="21" t="n"/>
      <c r="D240" s="33" t="n"/>
      <c r="E240" s="34">
        <f>IF($B240="","",IFERROR(INDEX('ACCOUNT MAP'!$C$6:$C$44,MATCH($B240,'ACCOUNT MAP'!$A$6:$A$44,0)),"! UNMAPPED ACCOUNT"))</f>
        <v/>
      </c>
      <c r="F240" s="21" t="n"/>
      <c r="G240" s="34">
        <f>IF($F240="","",IFERROR(INDEX(CATEGORIES!$C$5:$C$49,MATCH($F240,CATEGORIES!$B$5:$B$49,0)),"! UNKNOWN CATEGORY"))</f>
        <v/>
      </c>
      <c r="H240" s="21" t="n"/>
      <c r="I240" s="33" t="n"/>
      <c r="J240" s="35">
        <f>IF($A240="","",YEAR($A240)*100+MONTH($A240))</f>
        <v/>
      </c>
      <c r="K240" s="21" t="n"/>
    </row>
    <row r="241">
      <c r="A241" s="32" t="n"/>
      <c r="B241" s="21" t="n"/>
      <c r="C241" s="21" t="n"/>
      <c r="D241" s="33" t="n"/>
      <c r="E241" s="34">
        <f>IF($B241="","",IFERROR(INDEX('ACCOUNT MAP'!$C$6:$C$44,MATCH($B241,'ACCOUNT MAP'!$A$6:$A$44,0)),"! UNMAPPED ACCOUNT"))</f>
        <v/>
      </c>
      <c r="F241" s="21" t="n"/>
      <c r="G241" s="34">
        <f>IF($F241="","",IFERROR(INDEX(CATEGORIES!$C$5:$C$49,MATCH($F241,CATEGORIES!$B$5:$B$49,0)),"! UNKNOWN CATEGORY"))</f>
        <v/>
      </c>
      <c r="H241" s="21" t="n"/>
      <c r="I241" s="33" t="n"/>
      <c r="J241" s="35">
        <f>IF($A241="","",YEAR($A241)*100+MONTH($A241))</f>
        <v/>
      </c>
      <c r="K241" s="21" t="n"/>
    </row>
    <row r="242">
      <c r="A242" s="32" t="n"/>
      <c r="B242" s="21" t="n"/>
      <c r="C242" s="21" t="n"/>
      <c r="D242" s="33" t="n"/>
      <c r="E242" s="34">
        <f>IF($B242="","",IFERROR(INDEX('ACCOUNT MAP'!$C$6:$C$44,MATCH($B242,'ACCOUNT MAP'!$A$6:$A$44,0)),"! UNMAPPED ACCOUNT"))</f>
        <v/>
      </c>
      <c r="F242" s="21" t="n"/>
      <c r="G242" s="34">
        <f>IF($F242="","",IFERROR(INDEX(CATEGORIES!$C$5:$C$49,MATCH($F242,CATEGORIES!$B$5:$B$49,0)),"! UNKNOWN CATEGORY"))</f>
        <v/>
      </c>
      <c r="H242" s="21" t="n"/>
      <c r="I242" s="33" t="n"/>
      <c r="J242" s="35">
        <f>IF($A242="","",YEAR($A242)*100+MONTH($A242))</f>
        <v/>
      </c>
      <c r="K242" s="21" t="n"/>
    </row>
    <row r="243">
      <c r="A243" s="32" t="n"/>
      <c r="B243" s="21" t="n"/>
      <c r="C243" s="21" t="n"/>
      <c r="D243" s="33" t="n"/>
      <c r="E243" s="34">
        <f>IF($B243="","",IFERROR(INDEX('ACCOUNT MAP'!$C$6:$C$44,MATCH($B243,'ACCOUNT MAP'!$A$6:$A$44,0)),"! UNMAPPED ACCOUNT"))</f>
        <v/>
      </c>
      <c r="F243" s="21" t="n"/>
      <c r="G243" s="34">
        <f>IF($F243="","",IFERROR(INDEX(CATEGORIES!$C$5:$C$49,MATCH($F243,CATEGORIES!$B$5:$B$49,0)),"! UNKNOWN CATEGORY"))</f>
        <v/>
      </c>
      <c r="H243" s="21" t="n"/>
      <c r="I243" s="33" t="n"/>
      <c r="J243" s="35">
        <f>IF($A243="","",YEAR($A243)*100+MONTH($A243))</f>
        <v/>
      </c>
      <c r="K243" s="21" t="n"/>
    </row>
    <row r="244">
      <c r="A244" s="32" t="n"/>
      <c r="B244" s="21" t="n"/>
      <c r="C244" s="21" t="n"/>
      <c r="D244" s="33" t="n"/>
      <c r="E244" s="34">
        <f>IF($B244="","",IFERROR(INDEX('ACCOUNT MAP'!$C$6:$C$44,MATCH($B244,'ACCOUNT MAP'!$A$6:$A$44,0)),"! UNMAPPED ACCOUNT"))</f>
        <v/>
      </c>
      <c r="F244" s="21" t="n"/>
      <c r="G244" s="34">
        <f>IF($F244="","",IFERROR(INDEX(CATEGORIES!$C$5:$C$49,MATCH($F244,CATEGORIES!$B$5:$B$49,0)),"! UNKNOWN CATEGORY"))</f>
        <v/>
      </c>
      <c r="H244" s="21" t="n"/>
      <c r="I244" s="33" t="n"/>
      <c r="J244" s="35">
        <f>IF($A244="","",YEAR($A244)*100+MONTH($A244))</f>
        <v/>
      </c>
      <c r="K244" s="2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s>
  <sheetData>
    <row r="1">
      <c r="A1" s="1" t="inlineStr">
        <is>
          <t>Cash Reconciliation — Feb 1, 2026 to Jan 31, 2027</t>
        </is>
      </c>
    </row>
    <row r="2">
      <c r="A2" s="2" t="inlineStr">
        <is>
          <t>Opening + inflows - outflows = closing, per entity. If the difference row is not zero, the data is incomplete. Do not force it — the gap is the finding.</t>
        </is>
      </c>
    </row>
    <row r="4" ht="30" customHeight="1">
      <c r="A4" s="6" t="inlineStr">
        <is>
          <t>Line</t>
        </is>
      </c>
      <c r="B4" s="6" t="inlineStr">
        <is>
          <t>Personal</t>
        </is>
      </c>
      <c r="C4" s="6" t="inlineStr">
        <is>
          <t>Sole Prop</t>
        </is>
      </c>
      <c r="D4" s="6" t="inlineStr">
        <is>
          <t>Corporation</t>
        </is>
      </c>
      <c r="E4" s="6" t="inlineStr">
        <is>
          <t>TOTAL</t>
        </is>
      </c>
    </row>
    <row r="5">
      <c r="A5" s="36" t="inlineStr">
        <is>
          <t>Opening cash immediately before Feb 1</t>
        </is>
      </c>
      <c r="B5" s="37">
        <f>'ACCOUNT MAP'!$E$47</f>
        <v/>
      </c>
      <c r="C5" s="37">
        <f>'ACCOUNT MAP'!$E$48</f>
        <v/>
      </c>
      <c r="D5" s="37">
        <f>'ACCOUNT MAP'!$E$49</f>
        <v/>
      </c>
      <c r="E5" s="38">
        <f>SUM(B5:D5)</f>
        <v/>
      </c>
    </row>
    <row r="6">
      <c r="A6" s="36" t="inlineStr">
        <is>
          <t>Revenue collected (gross, includes GST)</t>
        </is>
      </c>
      <c r="B6" s="24">
        <f>SUMIFS(TRANSACTIONS!$D$5:$D$244,TRANSACTIONS!$E$5:$E$244,"Personal",TRANSACTIONS!$G$5:$G$244,"Revenue")</f>
        <v/>
      </c>
      <c r="C6" s="24">
        <f>SUMIFS(TRANSACTIONS!$D$5:$D$244,TRANSACTIONS!$E$5:$E$244,"Sole Prop",TRANSACTIONS!$G$5:$G$244,"Revenue")</f>
        <v/>
      </c>
      <c r="D6" s="24">
        <f>SUMIFS(TRANSACTIONS!$D$5:$D$244,TRANSACTIONS!$E$5:$E$244,"Corporation",TRANSACTIONS!$G$5:$G$244,"Revenue")</f>
        <v/>
      </c>
      <c r="E6" s="38">
        <f>SUM(B6:D6)</f>
        <v/>
      </c>
    </row>
    <row r="7">
      <c r="A7" s="36" t="inlineStr">
        <is>
          <t>Personal income received</t>
        </is>
      </c>
      <c r="B7" s="24">
        <f>SUMIFS(TRANSACTIONS!$D$5:$D$244,TRANSACTIONS!$E$5:$E$244,"Personal",TRANSACTIONS!$G$5:$G$244,"Personal Income")</f>
        <v/>
      </c>
      <c r="C7" s="24">
        <f>SUMIFS(TRANSACTIONS!$D$5:$D$244,TRANSACTIONS!$E$5:$E$244,"Sole Prop",TRANSACTIONS!$G$5:$G$244,"Personal Income")</f>
        <v/>
      </c>
      <c r="D7" s="24">
        <f>SUMIFS(TRANSACTIONS!$D$5:$D$244,TRANSACTIONS!$E$5:$E$244,"Corporation",TRANSACTIONS!$G$5:$G$244,"Personal Income")</f>
        <v/>
      </c>
      <c r="E7" s="38">
        <f>SUM(B7:D7)</f>
        <v/>
      </c>
    </row>
    <row r="8">
      <c r="A8" s="36" t="inlineStr">
        <is>
          <t>Financing proceeds / capital contributed</t>
        </is>
      </c>
      <c r="B8" s="24">
        <f>SUMIFS(TRANSACTIONS!$D$5:$D$244,TRANSACTIONS!$E$5:$E$244,"Personal",TRANSACTIONS!$G$5:$G$244,"Financing")</f>
        <v/>
      </c>
      <c r="C8" s="24">
        <f>SUMIFS(TRANSACTIONS!$D$5:$D$244,TRANSACTIONS!$E$5:$E$244,"Sole Prop",TRANSACTIONS!$G$5:$G$244,"Financing")</f>
        <v/>
      </c>
      <c r="D8" s="24">
        <f>SUMIFS(TRANSACTIONS!$D$5:$D$244,TRANSACTIONS!$E$5:$E$244,"Corporation",TRANSACTIONS!$G$5:$G$244,"Financing")</f>
        <v/>
      </c>
      <c r="E8" s="38">
        <f>SUM(B8:D8)</f>
        <v/>
      </c>
    </row>
    <row r="9">
      <c r="A9" s="36" t="inlineStr">
        <is>
          <t>Investments bought and sold (net)</t>
        </is>
      </c>
      <c r="B9" s="24">
        <f>SUMIFS(TRANSACTIONS!$D$5:$D$244,TRANSACTIONS!$E$5:$E$244,"Personal",TRANSACTIONS!$G$5:$G$244,"Investment")</f>
        <v/>
      </c>
      <c r="C9" s="24">
        <f>SUMIFS(TRANSACTIONS!$D$5:$D$244,TRANSACTIONS!$E$5:$E$244,"Sole Prop",TRANSACTIONS!$G$5:$G$244,"Investment")</f>
        <v/>
      </c>
      <c r="D9" s="24">
        <f>SUMIFS(TRANSACTIONS!$D$5:$D$244,TRANSACTIONS!$E$5:$E$244,"Corporation",TRANSACTIONS!$G$5:$G$244,"Investment")</f>
        <v/>
      </c>
      <c r="E9" s="38">
        <f>SUM(B9:D9)</f>
        <v/>
      </c>
    </row>
    <row r="10">
      <c r="A10" s="36" t="inlineStr">
        <is>
          <t>COGS and materials paid</t>
        </is>
      </c>
      <c r="B10" s="24">
        <f>SUMIFS(TRANSACTIONS!$D$5:$D$244,TRANSACTIONS!$E$5:$E$244,"Personal",TRANSACTIONS!$G$5:$G$244,"COGS")</f>
        <v/>
      </c>
      <c r="C10" s="24">
        <f>SUMIFS(TRANSACTIONS!$D$5:$D$244,TRANSACTIONS!$E$5:$E$244,"Sole Prop",TRANSACTIONS!$G$5:$G$244,"COGS")</f>
        <v/>
      </c>
      <c r="D10" s="24">
        <f>SUMIFS(TRANSACTIONS!$D$5:$D$244,TRANSACTIONS!$E$5:$E$244,"Corporation",TRANSACTIONS!$G$5:$G$244,"COGS")</f>
        <v/>
      </c>
      <c r="E10" s="38">
        <f>SUM(B10:D10)</f>
        <v/>
      </c>
    </row>
    <row r="11">
      <c r="A11" s="36" t="inlineStr">
        <is>
          <t>Operating expenses paid</t>
        </is>
      </c>
      <c r="B11" s="24">
        <f>SUMIFS(TRANSACTIONS!$D$5:$D$244,TRANSACTIONS!$E$5:$E$244,"Personal",TRANSACTIONS!$G$5:$G$244,"Operating Expense")</f>
        <v/>
      </c>
      <c r="C11" s="24">
        <f>SUMIFS(TRANSACTIONS!$D$5:$D$244,TRANSACTIONS!$E$5:$E$244,"Sole Prop",TRANSACTIONS!$G$5:$G$244,"Operating Expense")</f>
        <v/>
      </c>
      <c r="D11" s="24">
        <f>SUMIFS(TRANSACTIONS!$D$5:$D$244,TRANSACTIONS!$E$5:$E$244,"Corporation",TRANSACTIONS!$G$5:$G$244,"Operating Expense")</f>
        <v/>
      </c>
      <c r="E11" s="38">
        <f>SUM(B11:D11)</f>
        <v/>
      </c>
    </row>
    <row r="12">
      <c r="A12" s="36" t="inlineStr">
        <is>
          <t>Payroll paid</t>
        </is>
      </c>
      <c r="B12" s="24">
        <f>SUMIFS(TRANSACTIONS!$D$5:$D$244,TRANSACTIONS!$E$5:$E$244,"Personal",TRANSACTIONS!$G$5:$G$244,"Payroll")</f>
        <v/>
      </c>
      <c r="C12" s="24">
        <f>SUMIFS(TRANSACTIONS!$D$5:$D$244,TRANSACTIONS!$E$5:$E$244,"Sole Prop",TRANSACTIONS!$G$5:$G$244,"Payroll")</f>
        <v/>
      </c>
      <c r="D12" s="24">
        <f>SUMIFS(TRANSACTIONS!$D$5:$D$244,TRANSACTIONS!$E$5:$E$244,"Corporation",TRANSACTIONS!$G$5:$G$244,"Payroll")</f>
        <v/>
      </c>
      <c r="E12" s="38">
        <f>SUM(B12:D12)</f>
        <v/>
      </c>
    </row>
    <row r="13">
      <c r="A13" s="36" t="inlineStr">
        <is>
          <t>Taxes and remittances paid</t>
        </is>
      </c>
      <c r="B13" s="24">
        <f>SUMIFS(TRANSACTIONS!$D$5:$D$244,TRANSACTIONS!$E$5:$E$244,"Personal",TRANSACTIONS!$G$5:$G$244,"Tax/Remittance")</f>
        <v/>
      </c>
      <c r="C13" s="24">
        <f>SUMIFS(TRANSACTIONS!$D$5:$D$244,TRANSACTIONS!$E$5:$E$244,"Sole Prop",TRANSACTIONS!$G$5:$G$244,"Tax/Remittance")</f>
        <v/>
      </c>
      <c r="D13" s="24">
        <f>SUMIFS(TRANSACTIONS!$D$5:$D$244,TRANSACTIONS!$E$5:$E$244,"Corporation",TRANSACTIONS!$G$5:$G$244,"Tax/Remittance")</f>
        <v/>
      </c>
      <c r="E13" s="38">
        <f>SUM(B13:D13)</f>
        <v/>
      </c>
    </row>
    <row r="14">
      <c r="A14" s="36" t="inlineStr">
        <is>
          <t>Owner draws / compensation</t>
        </is>
      </c>
      <c r="B14" s="24">
        <f>SUMIFS(TRANSACTIONS!$D$5:$D$244,TRANSACTIONS!$E$5:$E$244,"Personal",TRANSACTIONS!$G$5:$G$244,"Owner Draw/Comp")</f>
        <v/>
      </c>
      <c r="C14" s="24">
        <f>SUMIFS(TRANSACTIONS!$D$5:$D$244,TRANSACTIONS!$E$5:$E$244,"Sole Prop",TRANSACTIONS!$G$5:$G$244,"Owner Draw/Comp")</f>
        <v/>
      </c>
      <c r="D14" s="24">
        <f>SUMIFS(TRANSACTIONS!$D$5:$D$244,TRANSACTIONS!$E$5:$E$244,"Corporation",TRANSACTIONS!$G$5:$G$244,"Owner Draw/Comp")</f>
        <v/>
      </c>
      <c r="E14" s="38">
        <f>SUM(B14:D14)</f>
        <v/>
      </c>
    </row>
    <row r="15">
      <c r="A15" s="36" t="inlineStr">
        <is>
          <t>Capital purchases (vehicles, equipment)</t>
        </is>
      </c>
      <c r="B15" s="24">
        <f>SUMIFS(TRANSACTIONS!$D$5:$D$244,TRANSACTIONS!$E$5:$E$244,"Personal",TRANSACTIONS!$G$5:$G$244,"Capital Purchase")</f>
        <v/>
      </c>
      <c r="C15" s="24">
        <f>SUMIFS(TRANSACTIONS!$D$5:$D$244,TRANSACTIONS!$E$5:$E$244,"Sole Prop",TRANSACTIONS!$G$5:$G$244,"Capital Purchase")</f>
        <v/>
      </c>
      <c r="D15" s="24">
        <f>SUMIFS(TRANSACTIONS!$D$5:$D$244,TRANSACTIONS!$E$5:$E$244,"Corporation",TRANSACTIONS!$G$5:$G$244,"Capital Purchase")</f>
        <v/>
      </c>
      <c r="E15" s="38">
        <f>SUM(B15:D15)</f>
        <v/>
      </c>
    </row>
    <row r="16">
      <c r="A16" s="36" t="inlineStr">
        <is>
          <t>Personal expenses paid</t>
        </is>
      </c>
      <c r="B16" s="24">
        <f>SUMIFS(TRANSACTIONS!$D$5:$D$244,TRANSACTIONS!$E$5:$E$244,"Personal",TRANSACTIONS!$G$5:$G$244,"Personal Expense")</f>
        <v/>
      </c>
      <c r="C16" s="24">
        <f>SUMIFS(TRANSACTIONS!$D$5:$D$244,TRANSACTIONS!$E$5:$E$244,"Sole Prop",TRANSACTIONS!$G$5:$G$244,"Personal Expense")</f>
        <v/>
      </c>
      <c r="D16" s="24">
        <f>SUMIFS(TRANSACTIONS!$D$5:$D$244,TRANSACTIONS!$E$5:$E$244,"Corporation",TRANSACTIONS!$G$5:$G$244,"Personal Expense")</f>
        <v/>
      </c>
      <c r="E16" s="38">
        <f>SUM(B16:D16)</f>
        <v/>
      </c>
    </row>
    <row r="17">
      <c r="A17" s="39" t="inlineStr">
        <is>
          <t>INTER-ACCOUNT / INTER-ENTITY TRANSFERS (net)</t>
        </is>
      </c>
      <c r="B17" s="40">
        <f>SUMIFS(TRANSACTIONS!$D$5:$D$244,TRANSACTIONS!$E$5:$E$244,"Personal",TRANSACTIONS!$G$5:$G$244,"Transfer")</f>
        <v/>
      </c>
      <c r="C17" s="40">
        <f>SUMIFS(TRANSACTIONS!$D$5:$D$244,TRANSACTIONS!$E$5:$E$244,"Sole Prop",TRANSACTIONS!$G$5:$G$244,"Transfer")</f>
        <v/>
      </c>
      <c r="D17" s="40">
        <f>SUMIFS(TRANSACTIONS!$D$5:$D$244,TRANSACTIONS!$E$5:$E$244,"Corporation",TRANSACTIONS!$G$5:$G$244,"Transfer")</f>
        <v/>
      </c>
      <c r="E17" s="41">
        <f>SUM(B17:D17)</f>
        <v/>
      </c>
    </row>
    <row r="18">
      <c r="A18" s="42" t="inlineStr">
        <is>
          <t>Unclassified — needs review</t>
        </is>
      </c>
      <c r="B18" s="43">
        <f>SUMIFS(TRANSACTIONS!$D$5:$D$244,TRANSACTIONS!$E$5:$E$244,"Personal",TRANSACTIONS!$G$5:$G$244,"Review")</f>
        <v/>
      </c>
      <c r="C18" s="43">
        <f>SUMIFS(TRANSACTIONS!$D$5:$D$244,TRANSACTIONS!$E$5:$E$244,"Sole Prop",TRANSACTIONS!$G$5:$G$244,"Review")</f>
        <v/>
      </c>
      <c r="D18" s="43">
        <f>SUMIFS(TRANSACTIONS!$D$5:$D$244,TRANSACTIONS!$E$5:$E$244,"Corporation",TRANSACTIONS!$G$5:$G$244,"Review")</f>
        <v/>
      </c>
      <c r="E18" s="44">
        <f>SUM(B18:D18)</f>
        <v/>
      </c>
    </row>
    <row r="19">
      <c r="A19" s="45" t="inlineStr">
        <is>
          <t>CALCULATED ENDING CASH</t>
        </is>
      </c>
      <c r="B19" s="25">
        <f>SUM(B5:B18)</f>
        <v/>
      </c>
      <c r="C19" s="25">
        <f>SUM(C5:C18)</f>
        <v/>
      </c>
      <c r="D19" s="25">
        <f>SUM(D5:D18)</f>
        <v/>
      </c>
      <c r="E19" s="25">
        <f>SUM(E5:E18)</f>
        <v/>
      </c>
    </row>
    <row r="20">
      <c r="A20" s="5" t="inlineStr">
        <is>
          <t>Actual bank balance at Jan 31 (you enter this)</t>
        </is>
      </c>
      <c r="B20" s="19" t="n"/>
      <c r="C20" s="19" t="n">
        <v>67159.36</v>
      </c>
      <c r="D20" s="19" t="n">
        <v>32107.9</v>
      </c>
      <c r="E20" s="38">
        <f>SUM(B20:D20)</f>
        <v/>
      </c>
    </row>
    <row r="21">
      <c r="A21" s="46" t="inlineStr">
        <is>
          <t>DIFFERENCE — must be zero</t>
        </is>
      </c>
      <c r="B21" s="44">
        <f>B20-B19</f>
        <v/>
      </c>
      <c r="C21" s="44">
        <f>C20-C19</f>
        <v/>
      </c>
      <c r="D21" s="44">
        <f>D20-D19</f>
        <v/>
      </c>
      <c r="E21" s="44">
        <f>E20-E19</f>
        <v/>
      </c>
    </row>
    <row r="23">
      <c r="A23" s="26" t="inlineStr">
        <is>
          <t>A non-zero difference means one of: a missing statement month, a transaction you have not entered, an account missing from ACCOUNT MAP, or a wrong opening balance.</t>
        </is>
      </c>
    </row>
    <row r="24">
      <c r="A24" s="26" t="inlineStr">
        <is>
          <t>Transfers net to roughly zero across the TOTAL column. If the total transfer line is materially non-zero, you have a transfer entered on one side only — that is the classic double-count.</t>
        </is>
      </c>
    </row>
    <row r="25">
      <c r="A25" s="26" t="inlineStr">
        <is>
          <t>This reconciliation is the audit trail. Every figure elsewhere in this workbook depends on it balancing.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c r="A1" s="1" t="inlineStr">
        <is>
          <t>Month by Month — Feb 2026 through Jan 2027</t>
        </is>
      </c>
    </row>
    <row r="2">
      <c r="A2" s="2" t="inlineStr">
        <is>
          <t>Signs are natural: money in is positive, money out is negative, so every row adds up to the net change. Transfers are excluded from the operating columns but included in ending cash.</t>
        </is>
      </c>
    </row>
    <row r="4" ht="30" customHeight="1">
      <c r="A4" s="6" t="inlineStr">
        <is>
          <t>Month</t>
        </is>
      </c>
      <c r="B4" s="6" t="inlineStr">
        <is>
          <t>Month key</t>
        </is>
      </c>
      <c r="C4" s="6" t="inlineStr">
        <is>
          <t>Sole prop revenue (gross)</t>
        </is>
      </c>
      <c r="D4" s="6" t="inlineStr">
        <is>
          <t>less GST collected</t>
        </is>
      </c>
      <c r="E4" s="6" t="inlineStr">
        <is>
          <t>Sole prop revenue ex-GST</t>
        </is>
      </c>
      <c r="F4" s="6" t="inlineStr">
        <is>
          <t>Corp revenue (gross)</t>
        </is>
      </c>
      <c r="G4" s="6" t="inlineStr">
        <is>
          <t>less GST collected</t>
        </is>
      </c>
      <c r="H4" s="6" t="inlineStr">
        <is>
          <t>Corp revenue ex-GST</t>
        </is>
      </c>
      <c r="I4" s="6" t="inlineStr">
        <is>
          <t>COGS / materials</t>
        </is>
      </c>
      <c r="J4" s="6" t="inlineStr">
        <is>
          <t>Operating expenses</t>
        </is>
      </c>
      <c r="K4" s="6" t="inlineStr">
        <is>
          <t>Payroll</t>
        </is>
      </c>
      <c r="L4" s="6" t="inlineStr">
        <is>
          <t>Taxes and remittances</t>
        </is>
      </c>
      <c r="M4" s="6" t="inlineStr">
        <is>
          <t>Owner draws / comp</t>
        </is>
      </c>
      <c r="N4" s="6" t="inlineStr">
        <is>
          <t>Capital purchases</t>
        </is>
      </c>
      <c r="O4" s="6" t="inlineStr">
        <is>
          <t>Financing (net)</t>
        </is>
      </c>
      <c r="P4" s="6" t="inlineStr">
        <is>
          <t>Operating cash flow</t>
        </is>
      </c>
      <c r="Q4" s="6" t="inlineStr">
        <is>
          <t>Net business cash change</t>
        </is>
      </c>
      <c r="R4" s="6" t="inlineStr">
        <is>
          <t>Personal cash change</t>
        </is>
      </c>
      <c r="S4" s="6" t="inlineStr">
        <is>
          <t>Ending sole prop cash</t>
        </is>
      </c>
      <c r="T4" s="6" t="inlineStr">
        <is>
          <t>Ending corp cash</t>
        </is>
      </c>
      <c r="U4" s="6" t="inlineStr">
        <is>
          <t>Ending personal cash</t>
        </is>
      </c>
      <c r="V4" s="6" t="inlineStr">
        <is>
          <t>TOTAL LIQUID CASH</t>
        </is>
      </c>
    </row>
    <row r="5">
      <c r="A5" s="45" t="inlineStr">
        <is>
          <t>Opening (Jan 31, 2026)</t>
        </is>
      </c>
      <c r="B5" s="47" t="n"/>
      <c r="C5" s="47" t="n"/>
      <c r="D5" s="47" t="n"/>
      <c r="E5" s="47" t="n"/>
      <c r="F5" s="47" t="n"/>
      <c r="G5" s="47" t="n"/>
      <c r="H5" s="47" t="n"/>
      <c r="I5" s="47" t="n"/>
      <c r="J5" s="47" t="n"/>
      <c r="K5" s="47" t="n"/>
      <c r="L5" s="47" t="n"/>
      <c r="M5" s="47" t="n"/>
      <c r="N5" s="47" t="n"/>
      <c r="O5" s="47" t="n"/>
      <c r="P5" s="47" t="n"/>
      <c r="Q5" s="47" t="n"/>
      <c r="R5" s="47" t="n"/>
      <c r="S5" s="48">
        <f>'ACCOUNT MAP'!$E$48</f>
        <v/>
      </c>
      <c r="T5" s="48">
        <f>'ACCOUNT MAP'!$E$49</f>
        <v/>
      </c>
      <c r="U5" s="48">
        <f>'ACCOUNT MAP'!$E$47</f>
        <v/>
      </c>
      <c r="V5" s="25">
        <f>SUM(S5:U5)</f>
        <v/>
      </c>
    </row>
    <row r="6">
      <c r="A6" s="49" t="inlineStr">
        <is>
          <t>Feb 2026</t>
        </is>
      </c>
      <c r="B6" s="50" t="n">
        <v>202602</v>
      </c>
      <c r="C6" s="24">
        <f>SUMIFS(TRANSACTIONS!$D$5:$D$244,TRANSACTIONS!$E$5:$E$244,"Sole Prop",TRANSACTIONS!$G$5:$G$244,"Revenue",TRANSACTIONS!$J$5:$J$244,$B6)</f>
        <v/>
      </c>
      <c r="D6" s="24">
        <f>-SUMIFS(TRANSACTIONS!$I$5:$I$244,TRANSACTIONS!$E$5:$E$244,"Sole Prop",TRANSACTIONS!$G$5:$G$244,"Revenue",TRANSACTIONS!$J$5:$J$244,$B6)</f>
        <v/>
      </c>
      <c r="E6" s="38">
        <f>C6+D6</f>
        <v/>
      </c>
      <c r="F6" s="24">
        <f>SUMIFS(TRANSACTIONS!$D$5:$D$244,TRANSACTIONS!$E$5:$E$244,"Corporation",TRANSACTIONS!$G$5:$G$244,"Revenue",TRANSACTIONS!$J$5:$J$244,$B6)</f>
        <v/>
      </c>
      <c r="G6" s="24">
        <f>-SUMIFS(TRANSACTIONS!$I$5:$I$244,TRANSACTIONS!$E$5:$E$244,"Corporation",TRANSACTIONS!$G$5:$G$244,"Revenue",TRANSACTIONS!$J$5:$J$244,$B6)</f>
        <v/>
      </c>
      <c r="H6" s="38">
        <f>F6+G6</f>
        <v/>
      </c>
      <c r="I6" s="24">
        <f>(SUMIFS(TRANSACTIONS!$D$5:$D$244,TRANSACTIONS!$E$5:$E$244,"Sole Prop",TRANSACTIONS!$G$5:$G$244,"COGS",TRANSACTIONS!$J$5:$J$244,$B6)+SUMIFS(TRANSACTIONS!$D$5:$D$244,TRANSACTIONS!$E$5:$E$244,"Corporation",TRANSACTIONS!$G$5:$G$244,"COGS",TRANSACTIONS!$J$5:$J$244,$B6))</f>
        <v/>
      </c>
      <c r="J6" s="24">
        <f>(SUMIFS(TRANSACTIONS!$D$5:$D$244,TRANSACTIONS!$E$5:$E$244,"Sole Prop",TRANSACTIONS!$G$5:$G$244,"Operating Expense",TRANSACTIONS!$J$5:$J$244,$B6)+SUMIFS(TRANSACTIONS!$D$5:$D$244,TRANSACTIONS!$E$5:$E$244,"Corporation",TRANSACTIONS!$G$5:$G$244,"Operating Expense",TRANSACTIONS!$J$5:$J$244,$B6))</f>
        <v/>
      </c>
      <c r="K6" s="24">
        <f>(SUMIFS(TRANSACTIONS!$D$5:$D$244,TRANSACTIONS!$E$5:$E$244,"Sole Prop",TRANSACTIONS!$G$5:$G$244,"Payroll",TRANSACTIONS!$J$5:$J$244,$B6)+SUMIFS(TRANSACTIONS!$D$5:$D$244,TRANSACTIONS!$E$5:$E$244,"Corporation",TRANSACTIONS!$G$5:$G$244,"Payroll",TRANSACTIONS!$J$5:$J$244,$B6))</f>
        <v/>
      </c>
      <c r="L6" s="24">
        <f>(SUMIFS(TRANSACTIONS!$D$5:$D$244,TRANSACTIONS!$E$5:$E$244,"Sole Prop",TRANSACTIONS!$G$5:$G$244,"Tax/Remittance",TRANSACTIONS!$J$5:$J$244,$B6)+SUMIFS(TRANSACTIONS!$D$5:$D$244,TRANSACTIONS!$E$5:$E$244,"Corporation",TRANSACTIONS!$G$5:$G$244,"Tax/Remittance",TRANSACTIONS!$J$5:$J$244,$B6))</f>
        <v/>
      </c>
      <c r="M6" s="24">
        <f>(SUMIFS(TRANSACTIONS!$D$5:$D$244,TRANSACTIONS!$E$5:$E$244,"Sole Prop",TRANSACTIONS!$G$5:$G$244,"Owner Draw/Comp",TRANSACTIONS!$J$5:$J$244,$B6)+SUMIFS(TRANSACTIONS!$D$5:$D$244,TRANSACTIONS!$E$5:$E$244,"Corporation",TRANSACTIONS!$G$5:$G$244,"Owner Draw/Comp",TRANSACTIONS!$J$5:$J$244,$B6))</f>
        <v/>
      </c>
      <c r="N6" s="24">
        <f>(SUMIFS(TRANSACTIONS!$D$5:$D$244,TRANSACTIONS!$E$5:$E$244,"Sole Prop",TRANSACTIONS!$G$5:$G$244,"Capital Purchase",TRANSACTIONS!$J$5:$J$244,$B6)+SUMIFS(TRANSACTIONS!$D$5:$D$244,TRANSACTIONS!$E$5:$E$244,"Corporation",TRANSACTIONS!$G$5:$G$244,"Capital Purchase",TRANSACTIONS!$J$5:$J$244,$B6))</f>
        <v/>
      </c>
      <c r="O6" s="24">
        <f>(SUMIFS(TRANSACTIONS!$D$5:$D$244,TRANSACTIONS!$E$5:$E$244,"Sole Prop",TRANSACTIONS!$G$5:$G$244,"Financing",TRANSACTIONS!$J$5:$J$244,$B6)+SUMIFS(TRANSACTIONS!$D$5:$D$244,TRANSACTIONS!$E$5:$E$244,"Corporation",TRANSACTIONS!$G$5:$G$244,"Financing",TRANSACTIONS!$J$5:$J$244,$B6))</f>
        <v/>
      </c>
      <c r="P6" s="38">
        <f>C6+F6+I6+J6+K6+L6</f>
        <v/>
      </c>
      <c r="Q6" s="38">
        <f>SUMIFS(TRANSACTIONS!$D$5:$D$244,TRANSACTIONS!$E$5:$E$244,"Sole Prop",TRANSACTIONS!$J$5:$J$244,$B6)+SUMIFS(TRANSACTIONS!$D$5:$D$244,TRANSACTIONS!$E$5:$E$244,"Corporation",TRANSACTIONS!$J$5:$J$244,$B6)</f>
        <v/>
      </c>
      <c r="R6" s="24">
        <f>SUMIFS(TRANSACTIONS!$D$5:$D$244,TRANSACTIONS!$E$5:$E$244,"Personal",TRANSACTIONS!$J$5:$J$244,$B6)</f>
        <v/>
      </c>
      <c r="S6" s="24">
        <f>S5+SUMIFS(TRANSACTIONS!$D$5:$D$244,TRANSACTIONS!$E$5:$E$244,"Sole Prop",TRANSACTIONS!$J$5:$J$244,$B6)</f>
        <v/>
      </c>
      <c r="T6" s="24">
        <f>T5+SUMIFS(TRANSACTIONS!$D$5:$D$244,TRANSACTIONS!$E$5:$E$244,"Corporation",TRANSACTIONS!$J$5:$J$244,$B6)</f>
        <v/>
      </c>
      <c r="U6" s="24">
        <f>U5+R6</f>
        <v/>
      </c>
      <c r="V6" s="38">
        <f>S6+T6+U6</f>
        <v/>
      </c>
    </row>
    <row r="7">
      <c r="A7" s="39" t="inlineStr">
        <is>
          <t>Mar 2026</t>
        </is>
      </c>
      <c r="B7" s="51" t="n">
        <v>202603</v>
      </c>
      <c r="C7" s="40">
        <f>SUMIFS(TRANSACTIONS!$D$5:$D$244,TRANSACTIONS!$E$5:$E$244,"Sole Prop",TRANSACTIONS!$G$5:$G$244,"Revenue",TRANSACTIONS!$J$5:$J$244,$B7)</f>
        <v/>
      </c>
      <c r="D7" s="40">
        <f>-SUMIFS(TRANSACTIONS!$I$5:$I$244,TRANSACTIONS!$E$5:$E$244,"Sole Prop",TRANSACTIONS!$G$5:$G$244,"Revenue",TRANSACTIONS!$J$5:$J$244,$B7)</f>
        <v/>
      </c>
      <c r="E7" s="41">
        <f>C7+D7</f>
        <v/>
      </c>
      <c r="F7" s="40">
        <f>SUMIFS(TRANSACTIONS!$D$5:$D$244,TRANSACTIONS!$E$5:$E$244,"Corporation",TRANSACTIONS!$G$5:$G$244,"Revenue",TRANSACTIONS!$J$5:$J$244,$B7)</f>
        <v/>
      </c>
      <c r="G7" s="40">
        <f>-SUMIFS(TRANSACTIONS!$I$5:$I$244,TRANSACTIONS!$E$5:$E$244,"Corporation",TRANSACTIONS!$G$5:$G$244,"Revenue",TRANSACTIONS!$J$5:$J$244,$B7)</f>
        <v/>
      </c>
      <c r="H7" s="41">
        <f>F7+G7</f>
        <v/>
      </c>
      <c r="I7" s="40">
        <f>(SUMIFS(TRANSACTIONS!$D$5:$D$244,TRANSACTIONS!$E$5:$E$244,"Sole Prop",TRANSACTIONS!$G$5:$G$244,"COGS",TRANSACTIONS!$J$5:$J$244,$B7)+SUMIFS(TRANSACTIONS!$D$5:$D$244,TRANSACTIONS!$E$5:$E$244,"Corporation",TRANSACTIONS!$G$5:$G$244,"COGS",TRANSACTIONS!$J$5:$J$244,$B7))</f>
        <v/>
      </c>
      <c r="J7" s="40">
        <f>(SUMIFS(TRANSACTIONS!$D$5:$D$244,TRANSACTIONS!$E$5:$E$244,"Sole Prop",TRANSACTIONS!$G$5:$G$244,"Operating Expense",TRANSACTIONS!$J$5:$J$244,$B7)+SUMIFS(TRANSACTIONS!$D$5:$D$244,TRANSACTIONS!$E$5:$E$244,"Corporation",TRANSACTIONS!$G$5:$G$244,"Operating Expense",TRANSACTIONS!$J$5:$J$244,$B7))</f>
        <v/>
      </c>
      <c r="K7" s="40">
        <f>(SUMIFS(TRANSACTIONS!$D$5:$D$244,TRANSACTIONS!$E$5:$E$244,"Sole Prop",TRANSACTIONS!$G$5:$G$244,"Payroll",TRANSACTIONS!$J$5:$J$244,$B7)+SUMIFS(TRANSACTIONS!$D$5:$D$244,TRANSACTIONS!$E$5:$E$244,"Corporation",TRANSACTIONS!$G$5:$G$244,"Payroll",TRANSACTIONS!$J$5:$J$244,$B7))</f>
        <v/>
      </c>
      <c r="L7" s="40">
        <f>(SUMIFS(TRANSACTIONS!$D$5:$D$244,TRANSACTIONS!$E$5:$E$244,"Sole Prop",TRANSACTIONS!$G$5:$G$244,"Tax/Remittance",TRANSACTIONS!$J$5:$J$244,$B7)+SUMIFS(TRANSACTIONS!$D$5:$D$244,TRANSACTIONS!$E$5:$E$244,"Corporation",TRANSACTIONS!$G$5:$G$244,"Tax/Remittance",TRANSACTIONS!$J$5:$J$244,$B7))</f>
        <v/>
      </c>
      <c r="M7" s="40">
        <f>(SUMIFS(TRANSACTIONS!$D$5:$D$244,TRANSACTIONS!$E$5:$E$244,"Sole Prop",TRANSACTIONS!$G$5:$G$244,"Owner Draw/Comp",TRANSACTIONS!$J$5:$J$244,$B7)+SUMIFS(TRANSACTIONS!$D$5:$D$244,TRANSACTIONS!$E$5:$E$244,"Corporation",TRANSACTIONS!$G$5:$G$244,"Owner Draw/Comp",TRANSACTIONS!$J$5:$J$244,$B7))</f>
        <v/>
      </c>
      <c r="N7" s="40">
        <f>(SUMIFS(TRANSACTIONS!$D$5:$D$244,TRANSACTIONS!$E$5:$E$244,"Sole Prop",TRANSACTIONS!$G$5:$G$244,"Capital Purchase",TRANSACTIONS!$J$5:$J$244,$B7)+SUMIFS(TRANSACTIONS!$D$5:$D$244,TRANSACTIONS!$E$5:$E$244,"Corporation",TRANSACTIONS!$G$5:$G$244,"Capital Purchase",TRANSACTIONS!$J$5:$J$244,$B7))</f>
        <v/>
      </c>
      <c r="O7" s="40">
        <f>(SUMIFS(TRANSACTIONS!$D$5:$D$244,TRANSACTIONS!$E$5:$E$244,"Sole Prop",TRANSACTIONS!$G$5:$G$244,"Financing",TRANSACTIONS!$J$5:$J$244,$B7)+SUMIFS(TRANSACTIONS!$D$5:$D$244,TRANSACTIONS!$E$5:$E$244,"Corporation",TRANSACTIONS!$G$5:$G$244,"Financing",TRANSACTIONS!$J$5:$J$244,$B7))</f>
        <v/>
      </c>
      <c r="P7" s="41">
        <f>C7+F7+I7+J7+K7+L7</f>
        <v/>
      </c>
      <c r="Q7" s="41">
        <f>SUMIFS(TRANSACTIONS!$D$5:$D$244,TRANSACTIONS!$E$5:$E$244,"Sole Prop",TRANSACTIONS!$J$5:$J$244,$B7)+SUMIFS(TRANSACTIONS!$D$5:$D$244,TRANSACTIONS!$E$5:$E$244,"Corporation",TRANSACTIONS!$J$5:$J$244,$B7)</f>
        <v/>
      </c>
      <c r="R7" s="40">
        <f>SUMIFS(TRANSACTIONS!$D$5:$D$244,TRANSACTIONS!$E$5:$E$244,"Personal",TRANSACTIONS!$J$5:$J$244,$B7)</f>
        <v/>
      </c>
      <c r="S7" s="40">
        <f>S6+SUMIFS(TRANSACTIONS!$D$5:$D$244,TRANSACTIONS!$E$5:$E$244,"Sole Prop",TRANSACTIONS!$J$5:$J$244,$B7)</f>
        <v/>
      </c>
      <c r="T7" s="40">
        <f>T6+SUMIFS(TRANSACTIONS!$D$5:$D$244,TRANSACTIONS!$E$5:$E$244,"Corporation",TRANSACTIONS!$J$5:$J$244,$B7)</f>
        <v/>
      </c>
      <c r="U7" s="40">
        <f>U6+R7</f>
        <v/>
      </c>
      <c r="V7" s="41">
        <f>S7+T7+U7</f>
        <v/>
      </c>
    </row>
    <row r="8">
      <c r="A8" s="49" t="inlineStr">
        <is>
          <t>Apr 2026</t>
        </is>
      </c>
      <c r="B8" s="50" t="n">
        <v>202604</v>
      </c>
      <c r="C8" s="24">
        <f>SUMIFS(TRANSACTIONS!$D$5:$D$244,TRANSACTIONS!$E$5:$E$244,"Sole Prop",TRANSACTIONS!$G$5:$G$244,"Revenue",TRANSACTIONS!$J$5:$J$244,$B8)</f>
        <v/>
      </c>
      <c r="D8" s="24">
        <f>-SUMIFS(TRANSACTIONS!$I$5:$I$244,TRANSACTIONS!$E$5:$E$244,"Sole Prop",TRANSACTIONS!$G$5:$G$244,"Revenue",TRANSACTIONS!$J$5:$J$244,$B8)</f>
        <v/>
      </c>
      <c r="E8" s="38">
        <f>C8+D8</f>
        <v/>
      </c>
      <c r="F8" s="24">
        <f>SUMIFS(TRANSACTIONS!$D$5:$D$244,TRANSACTIONS!$E$5:$E$244,"Corporation",TRANSACTIONS!$G$5:$G$244,"Revenue",TRANSACTIONS!$J$5:$J$244,$B8)</f>
        <v/>
      </c>
      <c r="G8" s="24">
        <f>-SUMIFS(TRANSACTIONS!$I$5:$I$244,TRANSACTIONS!$E$5:$E$244,"Corporation",TRANSACTIONS!$G$5:$G$244,"Revenue",TRANSACTIONS!$J$5:$J$244,$B8)</f>
        <v/>
      </c>
      <c r="H8" s="38">
        <f>F8+G8</f>
        <v/>
      </c>
      <c r="I8" s="24">
        <f>(SUMIFS(TRANSACTIONS!$D$5:$D$244,TRANSACTIONS!$E$5:$E$244,"Sole Prop",TRANSACTIONS!$G$5:$G$244,"COGS",TRANSACTIONS!$J$5:$J$244,$B8)+SUMIFS(TRANSACTIONS!$D$5:$D$244,TRANSACTIONS!$E$5:$E$244,"Corporation",TRANSACTIONS!$G$5:$G$244,"COGS",TRANSACTIONS!$J$5:$J$244,$B8))</f>
        <v/>
      </c>
      <c r="J8" s="24">
        <f>(SUMIFS(TRANSACTIONS!$D$5:$D$244,TRANSACTIONS!$E$5:$E$244,"Sole Prop",TRANSACTIONS!$G$5:$G$244,"Operating Expense",TRANSACTIONS!$J$5:$J$244,$B8)+SUMIFS(TRANSACTIONS!$D$5:$D$244,TRANSACTIONS!$E$5:$E$244,"Corporation",TRANSACTIONS!$G$5:$G$244,"Operating Expense",TRANSACTIONS!$J$5:$J$244,$B8))</f>
        <v/>
      </c>
      <c r="K8" s="24">
        <f>(SUMIFS(TRANSACTIONS!$D$5:$D$244,TRANSACTIONS!$E$5:$E$244,"Sole Prop",TRANSACTIONS!$G$5:$G$244,"Payroll",TRANSACTIONS!$J$5:$J$244,$B8)+SUMIFS(TRANSACTIONS!$D$5:$D$244,TRANSACTIONS!$E$5:$E$244,"Corporation",TRANSACTIONS!$G$5:$G$244,"Payroll",TRANSACTIONS!$J$5:$J$244,$B8))</f>
        <v/>
      </c>
      <c r="L8" s="24">
        <f>(SUMIFS(TRANSACTIONS!$D$5:$D$244,TRANSACTIONS!$E$5:$E$244,"Sole Prop",TRANSACTIONS!$G$5:$G$244,"Tax/Remittance",TRANSACTIONS!$J$5:$J$244,$B8)+SUMIFS(TRANSACTIONS!$D$5:$D$244,TRANSACTIONS!$E$5:$E$244,"Corporation",TRANSACTIONS!$G$5:$G$244,"Tax/Remittance",TRANSACTIONS!$J$5:$J$244,$B8))</f>
        <v/>
      </c>
      <c r="M8" s="24">
        <f>(SUMIFS(TRANSACTIONS!$D$5:$D$244,TRANSACTIONS!$E$5:$E$244,"Sole Prop",TRANSACTIONS!$G$5:$G$244,"Owner Draw/Comp",TRANSACTIONS!$J$5:$J$244,$B8)+SUMIFS(TRANSACTIONS!$D$5:$D$244,TRANSACTIONS!$E$5:$E$244,"Corporation",TRANSACTIONS!$G$5:$G$244,"Owner Draw/Comp",TRANSACTIONS!$J$5:$J$244,$B8))</f>
        <v/>
      </c>
      <c r="N8" s="24">
        <f>(SUMIFS(TRANSACTIONS!$D$5:$D$244,TRANSACTIONS!$E$5:$E$244,"Sole Prop",TRANSACTIONS!$G$5:$G$244,"Capital Purchase",TRANSACTIONS!$J$5:$J$244,$B8)+SUMIFS(TRANSACTIONS!$D$5:$D$244,TRANSACTIONS!$E$5:$E$244,"Corporation",TRANSACTIONS!$G$5:$G$244,"Capital Purchase",TRANSACTIONS!$J$5:$J$244,$B8))</f>
        <v/>
      </c>
      <c r="O8" s="24">
        <f>(SUMIFS(TRANSACTIONS!$D$5:$D$244,TRANSACTIONS!$E$5:$E$244,"Sole Prop",TRANSACTIONS!$G$5:$G$244,"Financing",TRANSACTIONS!$J$5:$J$244,$B8)+SUMIFS(TRANSACTIONS!$D$5:$D$244,TRANSACTIONS!$E$5:$E$244,"Corporation",TRANSACTIONS!$G$5:$G$244,"Financing",TRANSACTIONS!$J$5:$J$244,$B8))</f>
        <v/>
      </c>
      <c r="P8" s="38">
        <f>C8+F8+I8+J8+K8+L8</f>
        <v/>
      </c>
      <c r="Q8" s="38">
        <f>SUMIFS(TRANSACTIONS!$D$5:$D$244,TRANSACTIONS!$E$5:$E$244,"Sole Prop",TRANSACTIONS!$J$5:$J$244,$B8)+SUMIFS(TRANSACTIONS!$D$5:$D$244,TRANSACTIONS!$E$5:$E$244,"Corporation",TRANSACTIONS!$J$5:$J$244,$B8)</f>
        <v/>
      </c>
      <c r="R8" s="24">
        <f>SUMIFS(TRANSACTIONS!$D$5:$D$244,TRANSACTIONS!$E$5:$E$244,"Personal",TRANSACTIONS!$J$5:$J$244,$B8)</f>
        <v/>
      </c>
      <c r="S8" s="24">
        <f>S7+SUMIFS(TRANSACTIONS!$D$5:$D$244,TRANSACTIONS!$E$5:$E$244,"Sole Prop",TRANSACTIONS!$J$5:$J$244,$B8)</f>
        <v/>
      </c>
      <c r="T8" s="24">
        <f>T7+SUMIFS(TRANSACTIONS!$D$5:$D$244,TRANSACTIONS!$E$5:$E$244,"Corporation",TRANSACTIONS!$J$5:$J$244,$B8)</f>
        <v/>
      </c>
      <c r="U8" s="24">
        <f>U7+R8</f>
        <v/>
      </c>
      <c r="V8" s="38">
        <f>S8+T8+U8</f>
        <v/>
      </c>
    </row>
    <row r="9">
      <c r="A9" s="39" t="inlineStr">
        <is>
          <t>May 2026</t>
        </is>
      </c>
      <c r="B9" s="51" t="n">
        <v>202605</v>
      </c>
      <c r="C9" s="40">
        <f>SUMIFS(TRANSACTIONS!$D$5:$D$244,TRANSACTIONS!$E$5:$E$244,"Sole Prop",TRANSACTIONS!$G$5:$G$244,"Revenue",TRANSACTIONS!$J$5:$J$244,$B9)</f>
        <v/>
      </c>
      <c r="D9" s="40">
        <f>-SUMIFS(TRANSACTIONS!$I$5:$I$244,TRANSACTIONS!$E$5:$E$244,"Sole Prop",TRANSACTIONS!$G$5:$G$244,"Revenue",TRANSACTIONS!$J$5:$J$244,$B9)</f>
        <v/>
      </c>
      <c r="E9" s="41">
        <f>C9+D9</f>
        <v/>
      </c>
      <c r="F9" s="40">
        <f>SUMIFS(TRANSACTIONS!$D$5:$D$244,TRANSACTIONS!$E$5:$E$244,"Corporation",TRANSACTIONS!$G$5:$G$244,"Revenue",TRANSACTIONS!$J$5:$J$244,$B9)</f>
        <v/>
      </c>
      <c r="G9" s="40">
        <f>-SUMIFS(TRANSACTIONS!$I$5:$I$244,TRANSACTIONS!$E$5:$E$244,"Corporation",TRANSACTIONS!$G$5:$G$244,"Revenue",TRANSACTIONS!$J$5:$J$244,$B9)</f>
        <v/>
      </c>
      <c r="H9" s="41">
        <f>F9+G9</f>
        <v/>
      </c>
      <c r="I9" s="40">
        <f>(SUMIFS(TRANSACTIONS!$D$5:$D$244,TRANSACTIONS!$E$5:$E$244,"Sole Prop",TRANSACTIONS!$G$5:$G$244,"COGS",TRANSACTIONS!$J$5:$J$244,$B9)+SUMIFS(TRANSACTIONS!$D$5:$D$244,TRANSACTIONS!$E$5:$E$244,"Corporation",TRANSACTIONS!$G$5:$G$244,"COGS",TRANSACTIONS!$J$5:$J$244,$B9))</f>
        <v/>
      </c>
      <c r="J9" s="40">
        <f>(SUMIFS(TRANSACTIONS!$D$5:$D$244,TRANSACTIONS!$E$5:$E$244,"Sole Prop",TRANSACTIONS!$G$5:$G$244,"Operating Expense",TRANSACTIONS!$J$5:$J$244,$B9)+SUMIFS(TRANSACTIONS!$D$5:$D$244,TRANSACTIONS!$E$5:$E$244,"Corporation",TRANSACTIONS!$G$5:$G$244,"Operating Expense",TRANSACTIONS!$J$5:$J$244,$B9))</f>
        <v/>
      </c>
      <c r="K9" s="40">
        <f>(SUMIFS(TRANSACTIONS!$D$5:$D$244,TRANSACTIONS!$E$5:$E$244,"Sole Prop",TRANSACTIONS!$G$5:$G$244,"Payroll",TRANSACTIONS!$J$5:$J$244,$B9)+SUMIFS(TRANSACTIONS!$D$5:$D$244,TRANSACTIONS!$E$5:$E$244,"Corporation",TRANSACTIONS!$G$5:$G$244,"Payroll",TRANSACTIONS!$J$5:$J$244,$B9))</f>
        <v/>
      </c>
      <c r="L9" s="40">
        <f>(SUMIFS(TRANSACTIONS!$D$5:$D$244,TRANSACTIONS!$E$5:$E$244,"Sole Prop",TRANSACTIONS!$G$5:$G$244,"Tax/Remittance",TRANSACTIONS!$J$5:$J$244,$B9)+SUMIFS(TRANSACTIONS!$D$5:$D$244,TRANSACTIONS!$E$5:$E$244,"Corporation",TRANSACTIONS!$G$5:$G$244,"Tax/Remittance",TRANSACTIONS!$J$5:$J$244,$B9))</f>
        <v/>
      </c>
      <c r="M9" s="40">
        <f>(SUMIFS(TRANSACTIONS!$D$5:$D$244,TRANSACTIONS!$E$5:$E$244,"Sole Prop",TRANSACTIONS!$G$5:$G$244,"Owner Draw/Comp",TRANSACTIONS!$J$5:$J$244,$B9)+SUMIFS(TRANSACTIONS!$D$5:$D$244,TRANSACTIONS!$E$5:$E$244,"Corporation",TRANSACTIONS!$G$5:$G$244,"Owner Draw/Comp",TRANSACTIONS!$J$5:$J$244,$B9))</f>
        <v/>
      </c>
      <c r="N9" s="40">
        <f>(SUMIFS(TRANSACTIONS!$D$5:$D$244,TRANSACTIONS!$E$5:$E$244,"Sole Prop",TRANSACTIONS!$G$5:$G$244,"Capital Purchase",TRANSACTIONS!$J$5:$J$244,$B9)+SUMIFS(TRANSACTIONS!$D$5:$D$244,TRANSACTIONS!$E$5:$E$244,"Corporation",TRANSACTIONS!$G$5:$G$244,"Capital Purchase",TRANSACTIONS!$J$5:$J$244,$B9))</f>
        <v/>
      </c>
      <c r="O9" s="40">
        <f>(SUMIFS(TRANSACTIONS!$D$5:$D$244,TRANSACTIONS!$E$5:$E$244,"Sole Prop",TRANSACTIONS!$G$5:$G$244,"Financing",TRANSACTIONS!$J$5:$J$244,$B9)+SUMIFS(TRANSACTIONS!$D$5:$D$244,TRANSACTIONS!$E$5:$E$244,"Corporation",TRANSACTIONS!$G$5:$G$244,"Financing",TRANSACTIONS!$J$5:$J$244,$B9))</f>
        <v/>
      </c>
      <c r="P9" s="41">
        <f>C9+F9+I9+J9+K9+L9</f>
        <v/>
      </c>
      <c r="Q9" s="41">
        <f>SUMIFS(TRANSACTIONS!$D$5:$D$244,TRANSACTIONS!$E$5:$E$244,"Sole Prop",TRANSACTIONS!$J$5:$J$244,$B9)+SUMIFS(TRANSACTIONS!$D$5:$D$244,TRANSACTIONS!$E$5:$E$244,"Corporation",TRANSACTIONS!$J$5:$J$244,$B9)</f>
        <v/>
      </c>
      <c r="R9" s="40">
        <f>SUMIFS(TRANSACTIONS!$D$5:$D$244,TRANSACTIONS!$E$5:$E$244,"Personal",TRANSACTIONS!$J$5:$J$244,$B9)</f>
        <v/>
      </c>
      <c r="S9" s="40">
        <f>S8+SUMIFS(TRANSACTIONS!$D$5:$D$244,TRANSACTIONS!$E$5:$E$244,"Sole Prop",TRANSACTIONS!$J$5:$J$244,$B9)</f>
        <v/>
      </c>
      <c r="T9" s="40">
        <f>T8+SUMIFS(TRANSACTIONS!$D$5:$D$244,TRANSACTIONS!$E$5:$E$244,"Corporation",TRANSACTIONS!$J$5:$J$244,$B9)</f>
        <v/>
      </c>
      <c r="U9" s="40">
        <f>U8+R9</f>
        <v/>
      </c>
      <c r="V9" s="41">
        <f>S9+T9+U9</f>
        <v/>
      </c>
    </row>
    <row r="10">
      <c r="A10" s="49" t="inlineStr">
        <is>
          <t>Jun 2026</t>
        </is>
      </c>
      <c r="B10" s="50" t="n">
        <v>202606</v>
      </c>
      <c r="C10" s="24">
        <f>SUMIFS(TRANSACTIONS!$D$5:$D$244,TRANSACTIONS!$E$5:$E$244,"Sole Prop",TRANSACTIONS!$G$5:$G$244,"Revenue",TRANSACTIONS!$J$5:$J$244,$B10)</f>
        <v/>
      </c>
      <c r="D10" s="24">
        <f>-SUMIFS(TRANSACTIONS!$I$5:$I$244,TRANSACTIONS!$E$5:$E$244,"Sole Prop",TRANSACTIONS!$G$5:$G$244,"Revenue",TRANSACTIONS!$J$5:$J$244,$B10)</f>
        <v/>
      </c>
      <c r="E10" s="38">
        <f>C10+D10</f>
        <v/>
      </c>
      <c r="F10" s="24">
        <f>SUMIFS(TRANSACTIONS!$D$5:$D$244,TRANSACTIONS!$E$5:$E$244,"Corporation",TRANSACTIONS!$G$5:$G$244,"Revenue",TRANSACTIONS!$J$5:$J$244,$B10)</f>
        <v/>
      </c>
      <c r="G10" s="24">
        <f>-SUMIFS(TRANSACTIONS!$I$5:$I$244,TRANSACTIONS!$E$5:$E$244,"Corporation",TRANSACTIONS!$G$5:$G$244,"Revenue",TRANSACTIONS!$J$5:$J$244,$B10)</f>
        <v/>
      </c>
      <c r="H10" s="38">
        <f>F10+G10</f>
        <v/>
      </c>
      <c r="I10" s="24">
        <f>(SUMIFS(TRANSACTIONS!$D$5:$D$244,TRANSACTIONS!$E$5:$E$244,"Sole Prop",TRANSACTIONS!$G$5:$G$244,"COGS",TRANSACTIONS!$J$5:$J$244,$B10)+SUMIFS(TRANSACTIONS!$D$5:$D$244,TRANSACTIONS!$E$5:$E$244,"Corporation",TRANSACTIONS!$G$5:$G$244,"COGS",TRANSACTIONS!$J$5:$J$244,$B10))</f>
        <v/>
      </c>
      <c r="J10" s="24">
        <f>(SUMIFS(TRANSACTIONS!$D$5:$D$244,TRANSACTIONS!$E$5:$E$244,"Sole Prop",TRANSACTIONS!$G$5:$G$244,"Operating Expense",TRANSACTIONS!$J$5:$J$244,$B10)+SUMIFS(TRANSACTIONS!$D$5:$D$244,TRANSACTIONS!$E$5:$E$244,"Corporation",TRANSACTIONS!$G$5:$G$244,"Operating Expense",TRANSACTIONS!$J$5:$J$244,$B10))</f>
        <v/>
      </c>
      <c r="K10" s="24">
        <f>(SUMIFS(TRANSACTIONS!$D$5:$D$244,TRANSACTIONS!$E$5:$E$244,"Sole Prop",TRANSACTIONS!$G$5:$G$244,"Payroll",TRANSACTIONS!$J$5:$J$244,$B10)+SUMIFS(TRANSACTIONS!$D$5:$D$244,TRANSACTIONS!$E$5:$E$244,"Corporation",TRANSACTIONS!$G$5:$G$244,"Payroll",TRANSACTIONS!$J$5:$J$244,$B10))</f>
        <v/>
      </c>
      <c r="L10" s="24">
        <f>(SUMIFS(TRANSACTIONS!$D$5:$D$244,TRANSACTIONS!$E$5:$E$244,"Sole Prop",TRANSACTIONS!$G$5:$G$244,"Tax/Remittance",TRANSACTIONS!$J$5:$J$244,$B10)+SUMIFS(TRANSACTIONS!$D$5:$D$244,TRANSACTIONS!$E$5:$E$244,"Corporation",TRANSACTIONS!$G$5:$G$244,"Tax/Remittance",TRANSACTIONS!$J$5:$J$244,$B10))</f>
        <v/>
      </c>
      <c r="M10" s="24">
        <f>(SUMIFS(TRANSACTIONS!$D$5:$D$244,TRANSACTIONS!$E$5:$E$244,"Sole Prop",TRANSACTIONS!$G$5:$G$244,"Owner Draw/Comp",TRANSACTIONS!$J$5:$J$244,$B10)+SUMIFS(TRANSACTIONS!$D$5:$D$244,TRANSACTIONS!$E$5:$E$244,"Corporation",TRANSACTIONS!$G$5:$G$244,"Owner Draw/Comp",TRANSACTIONS!$J$5:$J$244,$B10))</f>
        <v/>
      </c>
      <c r="N10" s="24">
        <f>(SUMIFS(TRANSACTIONS!$D$5:$D$244,TRANSACTIONS!$E$5:$E$244,"Sole Prop",TRANSACTIONS!$G$5:$G$244,"Capital Purchase",TRANSACTIONS!$J$5:$J$244,$B10)+SUMIFS(TRANSACTIONS!$D$5:$D$244,TRANSACTIONS!$E$5:$E$244,"Corporation",TRANSACTIONS!$G$5:$G$244,"Capital Purchase",TRANSACTIONS!$J$5:$J$244,$B10))</f>
        <v/>
      </c>
      <c r="O10" s="24">
        <f>(SUMIFS(TRANSACTIONS!$D$5:$D$244,TRANSACTIONS!$E$5:$E$244,"Sole Prop",TRANSACTIONS!$G$5:$G$244,"Financing",TRANSACTIONS!$J$5:$J$244,$B10)+SUMIFS(TRANSACTIONS!$D$5:$D$244,TRANSACTIONS!$E$5:$E$244,"Corporation",TRANSACTIONS!$G$5:$G$244,"Financing",TRANSACTIONS!$J$5:$J$244,$B10))</f>
        <v/>
      </c>
      <c r="P10" s="38">
        <f>C10+F10+I10+J10+K10+L10</f>
        <v/>
      </c>
      <c r="Q10" s="38">
        <f>SUMIFS(TRANSACTIONS!$D$5:$D$244,TRANSACTIONS!$E$5:$E$244,"Sole Prop",TRANSACTIONS!$J$5:$J$244,$B10)+SUMIFS(TRANSACTIONS!$D$5:$D$244,TRANSACTIONS!$E$5:$E$244,"Corporation",TRANSACTIONS!$J$5:$J$244,$B10)</f>
        <v/>
      </c>
      <c r="R10" s="24">
        <f>SUMIFS(TRANSACTIONS!$D$5:$D$244,TRANSACTIONS!$E$5:$E$244,"Personal",TRANSACTIONS!$J$5:$J$244,$B10)</f>
        <v/>
      </c>
      <c r="S10" s="24">
        <f>S9+SUMIFS(TRANSACTIONS!$D$5:$D$244,TRANSACTIONS!$E$5:$E$244,"Sole Prop",TRANSACTIONS!$J$5:$J$244,$B10)</f>
        <v/>
      </c>
      <c r="T10" s="24">
        <f>T9+SUMIFS(TRANSACTIONS!$D$5:$D$244,TRANSACTIONS!$E$5:$E$244,"Corporation",TRANSACTIONS!$J$5:$J$244,$B10)</f>
        <v/>
      </c>
      <c r="U10" s="24">
        <f>U9+R10</f>
        <v/>
      </c>
      <c r="V10" s="38">
        <f>S10+T10+U10</f>
        <v/>
      </c>
    </row>
    <row r="11">
      <c r="A11" s="39" t="inlineStr">
        <is>
          <t>Jul 2026</t>
        </is>
      </c>
      <c r="B11" s="51" t="n">
        <v>202607</v>
      </c>
      <c r="C11" s="40">
        <f>SUMIFS(TRANSACTIONS!$D$5:$D$244,TRANSACTIONS!$E$5:$E$244,"Sole Prop",TRANSACTIONS!$G$5:$G$244,"Revenue",TRANSACTIONS!$J$5:$J$244,$B11)</f>
        <v/>
      </c>
      <c r="D11" s="40">
        <f>-SUMIFS(TRANSACTIONS!$I$5:$I$244,TRANSACTIONS!$E$5:$E$244,"Sole Prop",TRANSACTIONS!$G$5:$G$244,"Revenue",TRANSACTIONS!$J$5:$J$244,$B11)</f>
        <v/>
      </c>
      <c r="E11" s="41">
        <f>C11+D11</f>
        <v/>
      </c>
      <c r="F11" s="40">
        <f>SUMIFS(TRANSACTIONS!$D$5:$D$244,TRANSACTIONS!$E$5:$E$244,"Corporation",TRANSACTIONS!$G$5:$G$244,"Revenue",TRANSACTIONS!$J$5:$J$244,$B11)</f>
        <v/>
      </c>
      <c r="G11" s="40">
        <f>-SUMIFS(TRANSACTIONS!$I$5:$I$244,TRANSACTIONS!$E$5:$E$244,"Corporation",TRANSACTIONS!$G$5:$G$244,"Revenue",TRANSACTIONS!$J$5:$J$244,$B11)</f>
        <v/>
      </c>
      <c r="H11" s="41">
        <f>F11+G11</f>
        <v/>
      </c>
      <c r="I11" s="40">
        <f>(SUMIFS(TRANSACTIONS!$D$5:$D$244,TRANSACTIONS!$E$5:$E$244,"Sole Prop",TRANSACTIONS!$G$5:$G$244,"COGS",TRANSACTIONS!$J$5:$J$244,$B11)+SUMIFS(TRANSACTIONS!$D$5:$D$244,TRANSACTIONS!$E$5:$E$244,"Corporation",TRANSACTIONS!$G$5:$G$244,"COGS",TRANSACTIONS!$J$5:$J$244,$B11))</f>
        <v/>
      </c>
      <c r="J11" s="40">
        <f>(SUMIFS(TRANSACTIONS!$D$5:$D$244,TRANSACTIONS!$E$5:$E$244,"Sole Prop",TRANSACTIONS!$G$5:$G$244,"Operating Expense",TRANSACTIONS!$J$5:$J$244,$B11)+SUMIFS(TRANSACTIONS!$D$5:$D$244,TRANSACTIONS!$E$5:$E$244,"Corporation",TRANSACTIONS!$G$5:$G$244,"Operating Expense",TRANSACTIONS!$J$5:$J$244,$B11))</f>
        <v/>
      </c>
      <c r="K11" s="40">
        <f>(SUMIFS(TRANSACTIONS!$D$5:$D$244,TRANSACTIONS!$E$5:$E$244,"Sole Prop",TRANSACTIONS!$G$5:$G$244,"Payroll",TRANSACTIONS!$J$5:$J$244,$B11)+SUMIFS(TRANSACTIONS!$D$5:$D$244,TRANSACTIONS!$E$5:$E$244,"Corporation",TRANSACTIONS!$G$5:$G$244,"Payroll",TRANSACTIONS!$J$5:$J$244,$B11))</f>
        <v/>
      </c>
      <c r="L11" s="40">
        <f>(SUMIFS(TRANSACTIONS!$D$5:$D$244,TRANSACTIONS!$E$5:$E$244,"Sole Prop",TRANSACTIONS!$G$5:$G$244,"Tax/Remittance",TRANSACTIONS!$J$5:$J$244,$B11)+SUMIFS(TRANSACTIONS!$D$5:$D$244,TRANSACTIONS!$E$5:$E$244,"Corporation",TRANSACTIONS!$G$5:$G$244,"Tax/Remittance",TRANSACTIONS!$J$5:$J$244,$B11))</f>
        <v/>
      </c>
      <c r="M11" s="40">
        <f>(SUMIFS(TRANSACTIONS!$D$5:$D$244,TRANSACTIONS!$E$5:$E$244,"Sole Prop",TRANSACTIONS!$G$5:$G$244,"Owner Draw/Comp",TRANSACTIONS!$J$5:$J$244,$B11)+SUMIFS(TRANSACTIONS!$D$5:$D$244,TRANSACTIONS!$E$5:$E$244,"Corporation",TRANSACTIONS!$G$5:$G$244,"Owner Draw/Comp",TRANSACTIONS!$J$5:$J$244,$B11))</f>
        <v/>
      </c>
      <c r="N11" s="40">
        <f>(SUMIFS(TRANSACTIONS!$D$5:$D$244,TRANSACTIONS!$E$5:$E$244,"Sole Prop",TRANSACTIONS!$G$5:$G$244,"Capital Purchase",TRANSACTIONS!$J$5:$J$244,$B11)+SUMIFS(TRANSACTIONS!$D$5:$D$244,TRANSACTIONS!$E$5:$E$244,"Corporation",TRANSACTIONS!$G$5:$G$244,"Capital Purchase",TRANSACTIONS!$J$5:$J$244,$B11))</f>
        <v/>
      </c>
      <c r="O11" s="40">
        <f>(SUMIFS(TRANSACTIONS!$D$5:$D$244,TRANSACTIONS!$E$5:$E$244,"Sole Prop",TRANSACTIONS!$G$5:$G$244,"Financing",TRANSACTIONS!$J$5:$J$244,$B11)+SUMIFS(TRANSACTIONS!$D$5:$D$244,TRANSACTIONS!$E$5:$E$244,"Corporation",TRANSACTIONS!$G$5:$G$244,"Financing",TRANSACTIONS!$J$5:$J$244,$B11))</f>
        <v/>
      </c>
      <c r="P11" s="41">
        <f>C11+F11+I11+J11+K11+L11</f>
        <v/>
      </c>
      <c r="Q11" s="41">
        <f>SUMIFS(TRANSACTIONS!$D$5:$D$244,TRANSACTIONS!$E$5:$E$244,"Sole Prop",TRANSACTIONS!$J$5:$J$244,$B11)+SUMIFS(TRANSACTIONS!$D$5:$D$244,TRANSACTIONS!$E$5:$E$244,"Corporation",TRANSACTIONS!$J$5:$J$244,$B11)</f>
        <v/>
      </c>
      <c r="R11" s="40">
        <f>SUMIFS(TRANSACTIONS!$D$5:$D$244,TRANSACTIONS!$E$5:$E$244,"Personal",TRANSACTIONS!$J$5:$J$244,$B11)</f>
        <v/>
      </c>
      <c r="S11" s="40">
        <f>S10+SUMIFS(TRANSACTIONS!$D$5:$D$244,TRANSACTIONS!$E$5:$E$244,"Sole Prop",TRANSACTIONS!$J$5:$J$244,$B11)</f>
        <v/>
      </c>
      <c r="T11" s="40">
        <f>T10+SUMIFS(TRANSACTIONS!$D$5:$D$244,TRANSACTIONS!$E$5:$E$244,"Corporation",TRANSACTIONS!$J$5:$J$244,$B11)</f>
        <v/>
      </c>
      <c r="U11" s="40">
        <f>U10+R11</f>
        <v/>
      </c>
      <c r="V11" s="41">
        <f>S11+T11+U11</f>
        <v/>
      </c>
    </row>
    <row r="12">
      <c r="A12" s="49" t="inlineStr">
        <is>
          <t>Aug 2026</t>
        </is>
      </c>
      <c r="B12" s="50" t="n">
        <v>202608</v>
      </c>
      <c r="C12" s="24">
        <f>SUMIFS(TRANSACTIONS!$D$5:$D$244,TRANSACTIONS!$E$5:$E$244,"Sole Prop",TRANSACTIONS!$G$5:$G$244,"Revenue",TRANSACTIONS!$J$5:$J$244,$B12)</f>
        <v/>
      </c>
      <c r="D12" s="24">
        <f>-SUMIFS(TRANSACTIONS!$I$5:$I$244,TRANSACTIONS!$E$5:$E$244,"Sole Prop",TRANSACTIONS!$G$5:$G$244,"Revenue",TRANSACTIONS!$J$5:$J$244,$B12)</f>
        <v/>
      </c>
      <c r="E12" s="38">
        <f>C12+D12</f>
        <v/>
      </c>
      <c r="F12" s="24">
        <f>SUMIFS(TRANSACTIONS!$D$5:$D$244,TRANSACTIONS!$E$5:$E$244,"Corporation",TRANSACTIONS!$G$5:$G$244,"Revenue",TRANSACTIONS!$J$5:$J$244,$B12)</f>
        <v/>
      </c>
      <c r="G12" s="24">
        <f>-SUMIFS(TRANSACTIONS!$I$5:$I$244,TRANSACTIONS!$E$5:$E$244,"Corporation",TRANSACTIONS!$G$5:$G$244,"Revenue",TRANSACTIONS!$J$5:$J$244,$B12)</f>
        <v/>
      </c>
      <c r="H12" s="38">
        <f>F12+G12</f>
        <v/>
      </c>
      <c r="I12" s="24">
        <f>(SUMIFS(TRANSACTIONS!$D$5:$D$244,TRANSACTIONS!$E$5:$E$244,"Sole Prop",TRANSACTIONS!$G$5:$G$244,"COGS",TRANSACTIONS!$J$5:$J$244,$B12)+SUMIFS(TRANSACTIONS!$D$5:$D$244,TRANSACTIONS!$E$5:$E$244,"Corporation",TRANSACTIONS!$G$5:$G$244,"COGS",TRANSACTIONS!$J$5:$J$244,$B12))</f>
        <v/>
      </c>
      <c r="J12" s="24">
        <f>(SUMIFS(TRANSACTIONS!$D$5:$D$244,TRANSACTIONS!$E$5:$E$244,"Sole Prop",TRANSACTIONS!$G$5:$G$244,"Operating Expense",TRANSACTIONS!$J$5:$J$244,$B12)+SUMIFS(TRANSACTIONS!$D$5:$D$244,TRANSACTIONS!$E$5:$E$244,"Corporation",TRANSACTIONS!$G$5:$G$244,"Operating Expense",TRANSACTIONS!$J$5:$J$244,$B12))</f>
        <v/>
      </c>
      <c r="K12" s="24">
        <f>(SUMIFS(TRANSACTIONS!$D$5:$D$244,TRANSACTIONS!$E$5:$E$244,"Sole Prop",TRANSACTIONS!$G$5:$G$244,"Payroll",TRANSACTIONS!$J$5:$J$244,$B12)+SUMIFS(TRANSACTIONS!$D$5:$D$244,TRANSACTIONS!$E$5:$E$244,"Corporation",TRANSACTIONS!$G$5:$G$244,"Payroll",TRANSACTIONS!$J$5:$J$244,$B12))</f>
        <v/>
      </c>
      <c r="L12" s="24">
        <f>(SUMIFS(TRANSACTIONS!$D$5:$D$244,TRANSACTIONS!$E$5:$E$244,"Sole Prop",TRANSACTIONS!$G$5:$G$244,"Tax/Remittance",TRANSACTIONS!$J$5:$J$244,$B12)+SUMIFS(TRANSACTIONS!$D$5:$D$244,TRANSACTIONS!$E$5:$E$244,"Corporation",TRANSACTIONS!$G$5:$G$244,"Tax/Remittance",TRANSACTIONS!$J$5:$J$244,$B12))</f>
        <v/>
      </c>
      <c r="M12" s="24">
        <f>(SUMIFS(TRANSACTIONS!$D$5:$D$244,TRANSACTIONS!$E$5:$E$244,"Sole Prop",TRANSACTIONS!$G$5:$G$244,"Owner Draw/Comp",TRANSACTIONS!$J$5:$J$244,$B12)+SUMIFS(TRANSACTIONS!$D$5:$D$244,TRANSACTIONS!$E$5:$E$244,"Corporation",TRANSACTIONS!$G$5:$G$244,"Owner Draw/Comp",TRANSACTIONS!$J$5:$J$244,$B12))</f>
        <v/>
      </c>
      <c r="N12" s="24">
        <f>(SUMIFS(TRANSACTIONS!$D$5:$D$244,TRANSACTIONS!$E$5:$E$244,"Sole Prop",TRANSACTIONS!$G$5:$G$244,"Capital Purchase",TRANSACTIONS!$J$5:$J$244,$B12)+SUMIFS(TRANSACTIONS!$D$5:$D$244,TRANSACTIONS!$E$5:$E$244,"Corporation",TRANSACTIONS!$G$5:$G$244,"Capital Purchase",TRANSACTIONS!$J$5:$J$244,$B12))</f>
        <v/>
      </c>
      <c r="O12" s="24">
        <f>(SUMIFS(TRANSACTIONS!$D$5:$D$244,TRANSACTIONS!$E$5:$E$244,"Sole Prop",TRANSACTIONS!$G$5:$G$244,"Financing",TRANSACTIONS!$J$5:$J$244,$B12)+SUMIFS(TRANSACTIONS!$D$5:$D$244,TRANSACTIONS!$E$5:$E$244,"Corporation",TRANSACTIONS!$G$5:$G$244,"Financing",TRANSACTIONS!$J$5:$J$244,$B12))</f>
        <v/>
      </c>
      <c r="P12" s="38">
        <f>C12+F12+I12+J12+K12+L12</f>
        <v/>
      </c>
      <c r="Q12" s="38">
        <f>SUMIFS(TRANSACTIONS!$D$5:$D$244,TRANSACTIONS!$E$5:$E$244,"Sole Prop",TRANSACTIONS!$J$5:$J$244,$B12)+SUMIFS(TRANSACTIONS!$D$5:$D$244,TRANSACTIONS!$E$5:$E$244,"Corporation",TRANSACTIONS!$J$5:$J$244,$B12)</f>
        <v/>
      </c>
      <c r="R12" s="24">
        <f>SUMIFS(TRANSACTIONS!$D$5:$D$244,TRANSACTIONS!$E$5:$E$244,"Personal",TRANSACTIONS!$J$5:$J$244,$B12)</f>
        <v/>
      </c>
      <c r="S12" s="24">
        <f>S11+SUMIFS(TRANSACTIONS!$D$5:$D$244,TRANSACTIONS!$E$5:$E$244,"Sole Prop",TRANSACTIONS!$J$5:$J$244,$B12)</f>
        <v/>
      </c>
      <c r="T12" s="24">
        <f>T11+SUMIFS(TRANSACTIONS!$D$5:$D$244,TRANSACTIONS!$E$5:$E$244,"Corporation",TRANSACTIONS!$J$5:$J$244,$B12)</f>
        <v/>
      </c>
      <c r="U12" s="24">
        <f>U11+R12</f>
        <v/>
      </c>
      <c r="V12" s="38">
        <f>S12+T12+U12</f>
        <v/>
      </c>
    </row>
    <row r="13">
      <c r="A13" s="39" t="inlineStr">
        <is>
          <t>Sep 2026</t>
        </is>
      </c>
      <c r="B13" s="51" t="n">
        <v>202609</v>
      </c>
      <c r="C13" s="40">
        <f>SUMIFS(TRANSACTIONS!$D$5:$D$244,TRANSACTIONS!$E$5:$E$244,"Sole Prop",TRANSACTIONS!$G$5:$G$244,"Revenue",TRANSACTIONS!$J$5:$J$244,$B13)</f>
        <v/>
      </c>
      <c r="D13" s="40">
        <f>-SUMIFS(TRANSACTIONS!$I$5:$I$244,TRANSACTIONS!$E$5:$E$244,"Sole Prop",TRANSACTIONS!$G$5:$G$244,"Revenue",TRANSACTIONS!$J$5:$J$244,$B13)</f>
        <v/>
      </c>
      <c r="E13" s="41">
        <f>C13+D13</f>
        <v/>
      </c>
      <c r="F13" s="40">
        <f>SUMIFS(TRANSACTIONS!$D$5:$D$244,TRANSACTIONS!$E$5:$E$244,"Corporation",TRANSACTIONS!$G$5:$G$244,"Revenue",TRANSACTIONS!$J$5:$J$244,$B13)</f>
        <v/>
      </c>
      <c r="G13" s="40">
        <f>-SUMIFS(TRANSACTIONS!$I$5:$I$244,TRANSACTIONS!$E$5:$E$244,"Corporation",TRANSACTIONS!$G$5:$G$244,"Revenue",TRANSACTIONS!$J$5:$J$244,$B13)</f>
        <v/>
      </c>
      <c r="H13" s="41">
        <f>F13+G13</f>
        <v/>
      </c>
      <c r="I13" s="40">
        <f>(SUMIFS(TRANSACTIONS!$D$5:$D$244,TRANSACTIONS!$E$5:$E$244,"Sole Prop",TRANSACTIONS!$G$5:$G$244,"COGS",TRANSACTIONS!$J$5:$J$244,$B13)+SUMIFS(TRANSACTIONS!$D$5:$D$244,TRANSACTIONS!$E$5:$E$244,"Corporation",TRANSACTIONS!$G$5:$G$244,"COGS",TRANSACTIONS!$J$5:$J$244,$B13))</f>
        <v/>
      </c>
      <c r="J13" s="40">
        <f>(SUMIFS(TRANSACTIONS!$D$5:$D$244,TRANSACTIONS!$E$5:$E$244,"Sole Prop",TRANSACTIONS!$G$5:$G$244,"Operating Expense",TRANSACTIONS!$J$5:$J$244,$B13)+SUMIFS(TRANSACTIONS!$D$5:$D$244,TRANSACTIONS!$E$5:$E$244,"Corporation",TRANSACTIONS!$G$5:$G$244,"Operating Expense",TRANSACTIONS!$J$5:$J$244,$B13))</f>
        <v/>
      </c>
      <c r="K13" s="40">
        <f>(SUMIFS(TRANSACTIONS!$D$5:$D$244,TRANSACTIONS!$E$5:$E$244,"Sole Prop",TRANSACTIONS!$G$5:$G$244,"Payroll",TRANSACTIONS!$J$5:$J$244,$B13)+SUMIFS(TRANSACTIONS!$D$5:$D$244,TRANSACTIONS!$E$5:$E$244,"Corporation",TRANSACTIONS!$G$5:$G$244,"Payroll",TRANSACTIONS!$J$5:$J$244,$B13))</f>
        <v/>
      </c>
      <c r="L13" s="40">
        <f>(SUMIFS(TRANSACTIONS!$D$5:$D$244,TRANSACTIONS!$E$5:$E$244,"Sole Prop",TRANSACTIONS!$G$5:$G$244,"Tax/Remittance",TRANSACTIONS!$J$5:$J$244,$B13)+SUMIFS(TRANSACTIONS!$D$5:$D$244,TRANSACTIONS!$E$5:$E$244,"Corporation",TRANSACTIONS!$G$5:$G$244,"Tax/Remittance",TRANSACTIONS!$J$5:$J$244,$B13))</f>
        <v/>
      </c>
      <c r="M13" s="40">
        <f>(SUMIFS(TRANSACTIONS!$D$5:$D$244,TRANSACTIONS!$E$5:$E$244,"Sole Prop",TRANSACTIONS!$G$5:$G$244,"Owner Draw/Comp",TRANSACTIONS!$J$5:$J$244,$B13)+SUMIFS(TRANSACTIONS!$D$5:$D$244,TRANSACTIONS!$E$5:$E$244,"Corporation",TRANSACTIONS!$G$5:$G$244,"Owner Draw/Comp",TRANSACTIONS!$J$5:$J$244,$B13))</f>
        <v/>
      </c>
      <c r="N13" s="40">
        <f>(SUMIFS(TRANSACTIONS!$D$5:$D$244,TRANSACTIONS!$E$5:$E$244,"Sole Prop",TRANSACTIONS!$G$5:$G$244,"Capital Purchase",TRANSACTIONS!$J$5:$J$244,$B13)+SUMIFS(TRANSACTIONS!$D$5:$D$244,TRANSACTIONS!$E$5:$E$244,"Corporation",TRANSACTIONS!$G$5:$G$244,"Capital Purchase",TRANSACTIONS!$J$5:$J$244,$B13))</f>
        <v/>
      </c>
      <c r="O13" s="40">
        <f>(SUMIFS(TRANSACTIONS!$D$5:$D$244,TRANSACTIONS!$E$5:$E$244,"Sole Prop",TRANSACTIONS!$G$5:$G$244,"Financing",TRANSACTIONS!$J$5:$J$244,$B13)+SUMIFS(TRANSACTIONS!$D$5:$D$244,TRANSACTIONS!$E$5:$E$244,"Corporation",TRANSACTIONS!$G$5:$G$244,"Financing",TRANSACTIONS!$J$5:$J$244,$B13))</f>
        <v/>
      </c>
      <c r="P13" s="41">
        <f>C13+F13+I13+J13+K13+L13</f>
        <v/>
      </c>
      <c r="Q13" s="41">
        <f>SUMIFS(TRANSACTIONS!$D$5:$D$244,TRANSACTIONS!$E$5:$E$244,"Sole Prop",TRANSACTIONS!$J$5:$J$244,$B13)+SUMIFS(TRANSACTIONS!$D$5:$D$244,TRANSACTIONS!$E$5:$E$244,"Corporation",TRANSACTIONS!$J$5:$J$244,$B13)</f>
        <v/>
      </c>
      <c r="R13" s="40">
        <f>SUMIFS(TRANSACTIONS!$D$5:$D$244,TRANSACTIONS!$E$5:$E$244,"Personal",TRANSACTIONS!$J$5:$J$244,$B13)</f>
        <v/>
      </c>
      <c r="S13" s="40">
        <f>S12+SUMIFS(TRANSACTIONS!$D$5:$D$244,TRANSACTIONS!$E$5:$E$244,"Sole Prop",TRANSACTIONS!$J$5:$J$244,$B13)</f>
        <v/>
      </c>
      <c r="T13" s="40">
        <f>T12+SUMIFS(TRANSACTIONS!$D$5:$D$244,TRANSACTIONS!$E$5:$E$244,"Corporation",TRANSACTIONS!$J$5:$J$244,$B13)</f>
        <v/>
      </c>
      <c r="U13" s="40">
        <f>U12+R13</f>
        <v/>
      </c>
      <c r="V13" s="41">
        <f>S13+T13+U13</f>
        <v/>
      </c>
    </row>
    <row r="14">
      <c r="A14" s="49" t="inlineStr">
        <is>
          <t>Oct 2026</t>
        </is>
      </c>
      <c r="B14" s="50" t="n">
        <v>202610</v>
      </c>
      <c r="C14" s="24">
        <f>SUMIFS(TRANSACTIONS!$D$5:$D$244,TRANSACTIONS!$E$5:$E$244,"Sole Prop",TRANSACTIONS!$G$5:$G$244,"Revenue",TRANSACTIONS!$J$5:$J$244,$B14)</f>
        <v/>
      </c>
      <c r="D14" s="24">
        <f>-SUMIFS(TRANSACTIONS!$I$5:$I$244,TRANSACTIONS!$E$5:$E$244,"Sole Prop",TRANSACTIONS!$G$5:$G$244,"Revenue",TRANSACTIONS!$J$5:$J$244,$B14)</f>
        <v/>
      </c>
      <c r="E14" s="38">
        <f>C14+D14</f>
        <v/>
      </c>
      <c r="F14" s="24">
        <f>SUMIFS(TRANSACTIONS!$D$5:$D$244,TRANSACTIONS!$E$5:$E$244,"Corporation",TRANSACTIONS!$G$5:$G$244,"Revenue",TRANSACTIONS!$J$5:$J$244,$B14)</f>
        <v/>
      </c>
      <c r="G14" s="24">
        <f>-SUMIFS(TRANSACTIONS!$I$5:$I$244,TRANSACTIONS!$E$5:$E$244,"Corporation",TRANSACTIONS!$G$5:$G$244,"Revenue",TRANSACTIONS!$J$5:$J$244,$B14)</f>
        <v/>
      </c>
      <c r="H14" s="38">
        <f>F14+G14</f>
        <v/>
      </c>
      <c r="I14" s="24">
        <f>(SUMIFS(TRANSACTIONS!$D$5:$D$244,TRANSACTIONS!$E$5:$E$244,"Sole Prop",TRANSACTIONS!$G$5:$G$244,"COGS",TRANSACTIONS!$J$5:$J$244,$B14)+SUMIFS(TRANSACTIONS!$D$5:$D$244,TRANSACTIONS!$E$5:$E$244,"Corporation",TRANSACTIONS!$G$5:$G$244,"COGS",TRANSACTIONS!$J$5:$J$244,$B14))</f>
        <v/>
      </c>
      <c r="J14" s="24">
        <f>(SUMIFS(TRANSACTIONS!$D$5:$D$244,TRANSACTIONS!$E$5:$E$244,"Sole Prop",TRANSACTIONS!$G$5:$G$244,"Operating Expense",TRANSACTIONS!$J$5:$J$244,$B14)+SUMIFS(TRANSACTIONS!$D$5:$D$244,TRANSACTIONS!$E$5:$E$244,"Corporation",TRANSACTIONS!$G$5:$G$244,"Operating Expense",TRANSACTIONS!$J$5:$J$244,$B14))</f>
        <v/>
      </c>
      <c r="K14" s="24">
        <f>(SUMIFS(TRANSACTIONS!$D$5:$D$244,TRANSACTIONS!$E$5:$E$244,"Sole Prop",TRANSACTIONS!$G$5:$G$244,"Payroll",TRANSACTIONS!$J$5:$J$244,$B14)+SUMIFS(TRANSACTIONS!$D$5:$D$244,TRANSACTIONS!$E$5:$E$244,"Corporation",TRANSACTIONS!$G$5:$G$244,"Payroll",TRANSACTIONS!$J$5:$J$244,$B14))</f>
        <v/>
      </c>
      <c r="L14" s="24">
        <f>(SUMIFS(TRANSACTIONS!$D$5:$D$244,TRANSACTIONS!$E$5:$E$244,"Sole Prop",TRANSACTIONS!$G$5:$G$244,"Tax/Remittance",TRANSACTIONS!$J$5:$J$244,$B14)+SUMIFS(TRANSACTIONS!$D$5:$D$244,TRANSACTIONS!$E$5:$E$244,"Corporation",TRANSACTIONS!$G$5:$G$244,"Tax/Remittance",TRANSACTIONS!$J$5:$J$244,$B14))</f>
        <v/>
      </c>
      <c r="M14" s="24">
        <f>(SUMIFS(TRANSACTIONS!$D$5:$D$244,TRANSACTIONS!$E$5:$E$244,"Sole Prop",TRANSACTIONS!$G$5:$G$244,"Owner Draw/Comp",TRANSACTIONS!$J$5:$J$244,$B14)+SUMIFS(TRANSACTIONS!$D$5:$D$244,TRANSACTIONS!$E$5:$E$244,"Corporation",TRANSACTIONS!$G$5:$G$244,"Owner Draw/Comp",TRANSACTIONS!$J$5:$J$244,$B14))</f>
        <v/>
      </c>
      <c r="N14" s="24">
        <f>(SUMIFS(TRANSACTIONS!$D$5:$D$244,TRANSACTIONS!$E$5:$E$244,"Sole Prop",TRANSACTIONS!$G$5:$G$244,"Capital Purchase",TRANSACTIONS!$J$5:$J$244,$B14)+SUMIFS(TRANSACTIONS!$D$5:$D$244,TRANSACTIONS!$E$5:$E$244,"Corporation",TRANSACTIONS!$G$5:$G$244,"Capital Purchase",TRANSACTIONS!$J$5:$J$244,$B14))</f>
        <v/>
      </c>
      <c r="O14" s="24">
        <f>(SUMIFS(TRANSACTIONS!$D$5:$D$244,TRANSACTIONS!$E$5:$E$244,"Sole Prop",TRANSACTIONS!$G$5:$G$244,"Financing",TRANSACTIONS!$J$5:$J$244,$B14)+SUMIFS(TRANSACTIONS!$D$5:$D$244,TRANSACTIONS!$E$5:$E$244,"Corporation",TRANSACTIONS!$G$5:$G$244,"Financing",TRANSACTIONS!$J$5:$J$244,$B14))</f>
        <v/>
      </c>
      <c r="P14" s="38">
        <f>C14+F14+I14+J14+K14+L14</f>
        <v/>
      </c>
      <c r="Q14" s="38">
        <f>SUMIFS(TRANSACTIONS!$D$5:$D$244,TRANSACTIONS!$E$5:$E$244,"Sole Prop",TRANSACTIONS!$J$5:$J$244,$B14)+SUMIFS(TRANSACTIONS!$D$5:$D$244,TRANSACTIONS!$E$5:$E$244,"Corporation",TRANSACTIONS!$J$5:$J$244,$B14)</f>
        <v/>
      </c>
      <c r="R14" s="24">
        <f>SUMIFS(TRANSACTIONS!$D$5:$D$244,TRANSACTIONS!$E$5:$E$244,"Personal",TRANSACTIONS!$J$5:$J$244,$B14)</f>
        <v/>
      </c>
      <c r="S14" s="24">
        <f>S13+SUMIFS(TRANSACTIONS!$D$5:$D$244,TRANSACTIONS!$E$5:$E$244,"Sole Prop",TRANSACTIONS!$J$5:$J$244,$B14)</f>
        <v/>
      </c>
      <c r="T14" s="24">
        <f>T13+SUMIFS(TRANSACTIONS!$D$5:$D$244,TRANSACTIONS!$E$5:$E$244,"Corporation",TRANSACTIONS!$J$5:$J$244,$B14)</f>
        <v/>
      </c>
      <c r="U14" s="24">
        <f>U13+R14</f>
        <v/>
      </c>
      <c r="V14" s="38">
        <f>S14+T14+U14</f>
        <v/>
      </c>
    </row>
    <row r="15">
      <c r="A15" s="39" t="inlineStr">
        <is>
          <t>Nov 2026</t>
        </is>
      </c>
      <c r="B15" s="51" t="n">
        <v>202611</v>
      </c>
      <c r="C15" s="40">
        <f>SUMIFS(TRANSACTIONS!$D$5:$D$244,TRANSACTIONS!$E$5:$E$244,"Sole Prop",TRANSACTIONS!$G$5:$G$244,"Revenue",TRANSACTIONS!$J$5:$J$244,$B15)</f>
        <v/>
      </c>
      <c r="D15" s="40">
        <f>-SUMIFS(TRANSACTIONS!$I$5:$I$244,TRANSACTIONS!$E$5:$E$244,"Sole Prop",TRANSACTIONS!$G$5:$G$244,"Revenue",TRANSACTIONS!$J$5:$J$244,$B15)</f>
        <v/>
      </c>
      <c r="E15" s="41">
        <f>C15+D15</f>
        <v/>
      </c>
      <c r="F15" s="40">
        <f>SUMIFS(TRANSACTIONS!$D$5:$D$244,TRANSACTIONS!$E$5:$E$244,"Corporation",TRANSACTIONS!$G$5:$G$244,"Revenue",TRANSACTIONS!$J$5:$J$244,$B15)</f>
        <v/>
      </c>
      <c r="G15" s="40">
        <f>-SUMIFS(TRANSACTIONS!$I$5:$I$244,TRANSACTIONS!$E$5:$E$244,"Corporation",TRANSACTIONS!$G$5:$G$244,"Revenue",TRANSACTIONS!$J$5:$J$244,$B15)</f>
        <v/>
      </c>
      <c r="H15" s="41">
        <f>F15+G15</f>
        <v/>
      </c>
      <c r="I15" s="40">
        <f>(SUMIFS(TRANSACTIONS!$D$5:$D$244,TRANSACTIONS!$E$5:$E$244,"Sole Prop",TRANSACTIONS!$G$5:$G$244,"COGS",TRANSACTIONS!$J$5:$J$244,$B15)+SUMIFS(TRANSACTIONS!$D$5:$D$244,TRANSACTIONS!$E$5:$E$244,"Corporation",TRANSACTIONS!$G$5:$G$244,"COGS",TRANSACTIONS!$J$5:$J$244,$B15))</f>
        <v/>
      </c>
      <c r="J15" s="40">
        <f>(SUMIFS(TRANSACTIONS!$D$5:$D$244,TRANSACTIONS!$E$5:$E$244,"Sole Prop",TRANSACTIONS!$G$5:$G$244,"Operating Expense",TRANSACTIONS!$J$5:$J$244,$B15)+SUMIFS(TRANSACTIONS!$D$5:$D$244,TRANSACTIONS!$E$5:$E$244,"Corporation",TRANSACTIONS!$G$5:$G$244,"Operating Expense",TRANSACTIONS!$J$5:$J$244,$B15))</f>
        <v/>
      </c>
      <c r="K15" s="40">
        <f>(SUMIFS(TRANSACTIONS!$D$5:$D$244,TRANSACTIONS!$E$5:$E$244,"Sole Prop",TRANSACTIONS!$G$5:$G$244,"Payroll",TRANSACTIONS!$J$5:$J$244,$B15)+SUMIFS(TRANSACTIONS!$D$5:$D$244,TRANSACTIONS!$E$5:$E$244,"Corporation",TRANSACTIONS!$G$5:$G$244,"Payroll",TRANSACTIONS!$J$5:$J$244,$B15))</f>
        <v/>
      </c>
      <c r="L15" s="40">
        <f>(SUMIFS(TRANSACTIONS!$D$5:$D$244,TRANSACTIONS!$E$5:$E$244,"Sole Prop",TRANSACTIONS!$G$5:$G$244,"Tax/Remittance",TRANSACTIONS!$J$5:$J$244,$B15)+SUMIFS(TRANSACTIONS!$D$5:$D$244,TRANSACTIONS!$E$5:$E$244,"Corporation",TRANSACTIONS!$G$5:$G$244,"Tax/Remittance",TRANSACTIONS!$J$5:$J$244,$B15))</f>
        <v/>
      </c>
      <c r="M15" s="40">
        <f>(SUMIFS(TRANSACTIONS!$D$5:$D$244,TRANSACTIONS!$E$5:$E$244,"Sole Prop",TRANSACTIONS!$G$5:$G$244,"Owner Draw/Comp",TRANSACTIONS!$J$5:$J$244,$B15)+SUMIFS(TRANSACTIONS!$D$5:$D$244,TRANSACTIONS!$E$5:$E$244,"Corporation",TRANSACTIONS!$G$5:$G$244,"Owner Draw/Comp",TRANSACTIONS!$J$5:$J$244,$B15))</f>
        <v/>
      </c>
      <c r="N15" s="40">
        <f>(SUMIFS(TRANSACTIONS!$D$5:$D$244,TRANSACTIONS!$E$5:$E$244,"Sole Prop",TRANSACTIONS!$G$5:$G$244,"Capital Purchase",TRANSACTIONS!$J$5:$J$244,$B15)+SUMIFS(TRANSACTIONS!$D$5:$D$244,TRANSACTIONS!$E$5:$E$244,"Corporation",TRANSACTIONS!$G$5:$G$244,"Capital Purchase",TRANSACTIONS!$J$5:$J$244,$B15))</f>
        <v/>
      </c>
      <c r="O15" s="40">
        <f>(SUMIFS(TRANSACTIONS!$D$5:$D$244,TRANSACTIONS!$E$5:$E$244,"Sole Prop",TRANSACTIONS!$G$5:$G$244,"Financing",TRANSACTIONS!$J$5:$J$244,$B15)+SUMIFS(TRANSACTIONS!$D$5:$D$244,TRANSACTIONS!$E$5:$E$244,"Corporation",TRANSACTIONS!$G$5:$G$244,"Financing",TRANSACTIONS!$J$5:$J$244,$B15))</f>
        <v/>
      </c>
      <c r="P15" s="41">
        <f>C15+F15+I15+J15+K15+L15</f>
        <v/>
      </c>
      <c r="Q15" s="41">
        <f>SUMIFS(TRANSACTIONS!$D$5:$D$244,TRANSACTIONS!$E$5:$E$244,"Sole Prop",TRANSACTIONS!$J$5:$J$244,$B15)+SUMIFS(TRANSACTIONS!$D$5:$D$244,TRANSACTIONS!$E$5:$E$244,"Corporation",TRANSACTIONS!$J$5:$J$244,$B15)</f>
        <v/>
      </c>
      <c r="R15" s="40">
        <f>SUMIFS(TRANSACTIONS!$D$5:$D$244,TRANSACTIONS!$E$5:$E$244,"Personal",TRANSACTIONS!$J$5:$J$244,$B15)</f>
        <v/>
      </c>
      <c r="S15" s="40">
        <f>S14+SUMIFS(TRANSACTIONS!$D$5:$D$244,TRANSACTIONS!$E$5:$E$244,"Sole Prop",TRANSACTIONS!$J$5:$J$244,$B15)</f>
        <v/>
      </c>
      <c r="T15" s="40">
        <f>T14+SUMIFS(TRANSACTIONS!$D$5:$D$244,TRANSACTIONS!$E$5:$E$244,"Corporation",TRANSACTIONS!$J$5:$J$244,$B15)</f>
        <v/>
      </c>
      <c r="U15" s="40">
        <f>U14+R15</f>
        <v/>
      </c>
      <c r="V15" s="41">
        <f>S15+T15+U15</f>
        <v/>
      </c>
    </row>
    <row r="16">
      <c r="A16" s="49" t="inlineStr">
        <is>
          <t>Dec 2026</t>
        </is>
      </c>
      <c r="B16" s="50" t="n">
        <v>202612</v>
      </c>
      <c r="C16" s="24">
        <f>SUMIFS(TRANSACTIONS!$D$5:$D$244,TRANSACTIONS!$E$5:$E$244,"Sole Prop",TRANSACTIONS!$G$5:$G$244,"Revenue",TRANSACTIONS!$J$5:$J$244,$B16)</f>
        <v/>
      </c>
      <c r="D16" s="24">
        <f>-SUMIFS(TRANSACTIONS!$I$5:$I$244,TRANSACTIONS!$E$5:$E$244,"Sole Prop",TRANSACTIONS!$G$5:$G$244,"Revenue",TRANSACTIONS!$J$5:$J$244,$B16)</f>
        <v/>
      </c>
      <c r="E16" s="38">
        <f>C16+D16</f>
        <v/>
      </c>
      <c r="F16" s="24">
        <f>SUMIFS(TRANSACTIONS!$D$5:$D$244,TRANSACTIONS!$E$5:$E$244,"Corporation",TRANSACTIONS!$G$5:$G$244,"Revenue",TRANSACTIONS!$J$5:$J$244,$B16)</f>
        <v/>
      </c>
      <c r="G16" s="24">
        <f>-SUMIFS(TRANSACTIONS!$I$5:$I$244,TRANSACTIONS!$E$5:$E$244,"Corporation",TRANSACTIONS!$G$5:$G$244,"Revenue",TRANSACTIONS!$J$5:$J$244,$B16)</f>
        <v/>
      </c>
      <c r="H16" s="38">
        <f>F16+G16</f>
        <v/>
      </c>
      <c r="I16" s="24">
        <f>(SUMIFS(TRANSACTIONS!$D$5:$D$244,TRANSACTIONS!$E$5:$E$244,"Sole Prop",TRANSACTIONS!$G$5:$G$244,"COGS",TRANSACTIONS!$J$5:$J$244,$B16)+SUMIFS(TRANSACTIONS!$D$5:$D$244,TRANSACTIONS!$E$5:$E$244,"Corporation",TRANSACTIONS!$G$5:$G$244,"COGS",TRANSACTIONS!$J$5:$J$244,$B16))</f>
        <v/>
      </c>
      <c r="J16" s="24">
        <f>(SUMIFS(TRANSACTIONS!$D$5:$D$244,TRANSACTIONS!$E$5:$E$244,"Sole Prop",TRANSACTIONS!$G$5:$G$244,"Operating Expense",TRANSACTIONS!$J$5:$J$244,$B16)+SUMIFS(TRANSACTIONS!$D$5:$D$244,TRANSACTIONS!$E$5:$E$244,"Corporation",TRANSACTIONS!$G$5:$G$244,"Operating Expense",TRANSACTIONS!$J$5:$J$244,$B16))</f>
        <v/>
      </c>
      <c r="K16" s="24">
        <f>(SUMIFS(TRANSACTIONS!$D$5:$D$244,TRANSACTIONS!$E$5:$E$244,"Sole Prop",TRANSACTIONS!$G$5:$G$244,"Payroll",TRANSACTIONS!$J$5:$J$244,$B16)+SUMIFS(TRANSACTIONS!$D$5:$D$244,TRANSACTIONS!$E$5:$E$244,"Corporation",TRANSACTIONS!$G$5:$G$244,"Payroll",TRANSACTIONS!$J$5:$J$244,$B16))</f>
        <v/>
      </c>
      <c r="L16" s="24">
        <f>(SUMIFS(TRANSACTIONS!$D$5:$D$244,TRANSACTIONS!$E$5:$E$244,"Sole Prop",TRANSACTIONS!$G$5:$G$244,"Tax/Remittance",TRANSACTIONS!$J$5:$J$244,$B16)+SUMIFS(TRANSACTIONS!$D$5:$D$244,TRANSACTIONS!$E$5:$E$244,"Corporation",TRANSACTIONS!$G$5:$G$244,"Tax/Remittance",TRANSACTIONS!$J$5:$J$244,$B16))</f>
        <v/>
      </c>
      <c r="M16" s="24">
        <f>(SUMIFS(TRANSACTIONS!$D$5:$D$244,TRANSACTIONS!$E$5:$E$244,"Sole Prop",TRANSACTIONS!$G$5:$G$244,"Owner Draw/Comp",TRANSACTIONS!$J$5:$J$244,$B16)+SUMIFS(TRANSACTIONS!$D$5:$D$244,TRANSACTIONS!$E$5:$E$244,"Corporation",TRANSACTIONS!$G$5:$G$244,"Owner Draw/Comp",TRANSACTIONS!$J$5:$J$244,$B16))</f>
        <v/>
      </c>
      <c r="N16" s="24">
        <f>(SUMIFS(TRANSACTIONS!$D$5:$D$244,TRANSACTIONS!$E$5:$E$244,"Sole Prop",TRANSACTIONS!$G$5:$G$244,"Capital Purchase",TRANSACTIONS!$J$5:$J$244,$B16)+SUMIFS(TRANSACTIONS!$D$5:$D$244,TRANSACTIONS!$E$5:$E$244,"Corporation",TRANSACTIONS!$G$5:$G$244,"Capital Purchase",TRANSACTIONS!$J$5:$J$244,$B16))</f>
        <v/>
      </c>
      <c r="O16" s="24">
        <f>(SUMIFS(TRANSACTIONS!$D$5:$D$244,TRANSACTIONS!$E$5:$E$244,"Sole Prop",TRANSACTIONS!$G$5:$G$244,"Financing",TRANSACTIONS!$J$5:$J$244,$B16)+SUMIFS(TRANSACTIONS!$D$5:$D$244,TRANSACTIONS!$E$5:$E$244,"Corporation",TRANSACTIONS!$G$5:$G$244,"Financing",TRANSACTIONS!$J$5:$J$244,$B16))</f>
        <v/>
      </c>
      <c r="P16" s="38">
        <f>C16+F16+I16+J16+K16+L16</f>
        <v/>
      </c>
      <c r="Q16" s="38">
        <f>SUMIFS(TRANSACTIONS!$D$5:$D$244,TRANSACTIONS!$E$5:$E$244,"Sole Prop",TRANSACTIONS!$J$5:$J$244,$B16)+SUMIFS(TRANSACTIONS!$D$5:$D$244,TRANSACTIONS!$E$5:$E$244,"Corporation",TRANSACTIONS!$J$5:$J$244,$B16)</f>
        <v/>
      </c>
      <c r="R16" s="24">
        <f>SUMIFS(TRANSACTIONS!$D$5:$D$244,TRANSACTIONS!$E$5:$E$244,"Personal",TRANSACTIONS!$J$5:$J$244,$B16)</f>
        <v/>
      </c>
      <c r="S16" s="24">
        <f>S15+SUMIFS(TRANSACTIONS!$D$5:$D$244,TRANSACTIONS!$E$5:$E$244,"Sole Prop",TRANSACTIONS!$J$5:$J$244,$B16)</f>
        <v/>
      </c>
      <c r="T16" s="24">
        <f>T15+SUMIFS(TRANSACTIONS!$D$5:$D$244,TRANSACTIONS!$E$5:$E$244,"Corporation",TRANSACTIONS!$J$5:$J$244,$B16)</f>
        <v/>
      </c>
      <c r="U16" s="24">
        <f>U15+R16</f>
        <v/>
      </c>
      <c r="V16" s="38">
        <f>S16+T16+U16</f>
        <v/>
      </c>
    </row>
    <row r="17">
      <c r="A17" s="39" t="inlineStr">
        <is>
          <t>Jan 2027</t>
        </is>
      </c>
      <c r="B17" s="51" t="n">
        <v>202701</v>
      </c>
      <c r="C17" s="40">
        <f>SUMIFS(TRANSACTIONS!$D$5:$D$244,TRANSACTIONS!$E$5:$E$244,"Sole Prop",TRANSACTIONS!$G$5:$G$244,"Revenue",TRANSACTIONS!$J$5:$J$244,$B17)</f>
        <v/>
      </c>
      <c r="D17" s="40">
        <f>-SUMIFS(TRANSACTIONS!$I$5:$I$244,TRANSACTIONS!$E$5:$E$244,"Sole Prop",TRANSACTIONS!$G$5:$G$244,"Revenue",TRANSACTIONS!$J$5:$J$244,$B17)</f>
        <v/>
      </c>
      <c r="E17" s="41">
        <f>C17+D17</f>
        <v/>
      </c>
      <c r="F17" s="40">
        <f>SUMIFS(TRANSACTIONS!$D$5:$D$244,TRANSACTIONS!$E$5:$E$244,"Corporation",TRANSACTIONS!$G$5:$G$244,"Revenue",TRANSACTIONS!$J$5:$J$244,$B17)</f>
        <v/>
      </c>
      <c r="G17" s="40">
        <f>-SUMIFS(TRANSACTIONS!$I$5:$I$244,TRANSACTIONS!$E$5:$E$244,"Corporation",TRANSACTIONS!$G$5:$G$244,"Revenue",TRANSACTIONS!$J$5:$J$244,$B17)</f>
        <v/>
      </c>
      <c r="H17" s="41">
        <f>F17+G17</f>
        <v/>
      </c>
      <c r="I17" s="40">
        <f>(SUMIFS(TRANSACTIONS!$D$5:$D$244,TRANSACTIONS!$E$5:$E$244,"Sole Prop",TRANSACTIONS!$G$5:$G$244,"COGS",TRANSACTIONS!$J$5:$J$244,$B17)+SUMIFS(TRANSACTIONS!$D$5:$D$244,TRANSACTIONS!$E$5:$E$244,"Corporation",TRANSACTIONS!$G$5:$G$244,"COGS",TRANSACTIONS!$J$5:$J$244,$B17))</f>
        <v/>
      </c>
      <c r="J17" s="40">
        <f>(SUMIFS(TRANSACTIONS!$D$5:$D$244,TRANSACTIONS!$E$5:$E$244,"Sole Prop",TRANSACTIONS!$G$5:$G$244,"Operating Expense",TRANSACTIONS!$J$5:$J$244,$B17)+SUMIFS(TRANSACTIONS!$D$5:$D$244,TRANSACTIONS!$E$5:$E$244,"Corporation",TRANSACTIONS!$G$5:$G$244,"Operating Expense",TRANSACTIONS!$J$5:$J$244,$B17))</f>
        <v/>
      </c>
      <c r="K17" s="40">
        <f>(SUMIFS(TRANSACTIONS!$D$5:$D$244,TRANSACTIONS!$E$5:$E$244,"Sole Prop",TRANSACTIONS!$G$5:$G$244,"Payroll",TRANSACTIONS!$J$5:$J$244,$B17)+SUMIFS(TRANSACTIONS!$D$5:$D$244,TRANSACTIONS!$E$5:$E$244,"Corporation",TRANSACTIONS!$G$5:$G$244,"Payroll",TRANSACTIONS!$J$5:$J$244,$B17))</f>
        <v/>
      </c>
      <c r="L17" s="40">
        <f>(SUMIFS(TRANSACTIONS!$D$5:$D$244,TRANSACTIONS!$E$5:$E$244,"Sole Prop",TRANSACTIONS!$G$5:$G$244,"Tax/Remittance",TRANSACTIONS!$J$5:$J$244,$B17)+SUMIFS(TRANSACTIONS!$D$5:$D$244,TRANSACTIONS!$E$5:$E$244,"Corporation",TRANSACTIONS!$G$5:$G$244,"Tax/Remittance",TRANSACTIONS!$J$5:$J$244,$B17))</f>
        <v/>
      </c>
      <c r="M17" s="40">
        <f>(SUMIFS(TRANSACTIONS!$D$5:$D$244,TRANSACTIONS!$E$5:$E$244,"Sole Prop",TRANSACTIONS!$G$5:$G$244,"Owner Draw/Comp",TRANSACTIONS!$J$5:$J$244,$B17)+SUMIFS(TRANSACTIONS!$D$5:$D$244,TRANSACTIONS!$E$5:$E$244,"Corporation",TRANSACTIONS!$G$5:$G$244,"Owner Draw/Comp",TRANSACTIONS!$J$5:$J$244,$B17))</f>
        <v/>
      </c>
      <c r="N17" s="40">
        <f>(SUMIFS(TRANSACTIONS!$D$5:$D$244,TRANSACTIONS!$E$5:$E$244,"Sole Prop",TRANSACTIONS!$G$5:$G$244,"Capital Purchase",TRANSACTIONS!$J$5:$J$244,$B17)+SUMIFS(TRANSACTIONS!$D$5:$D$244,TRANSACTIONS!$E$5:$E$244,"Corporation",TRANSACTIONS!$G$5:$G$244,"Capital Purchase",TRANSACTIONS!$J$5:$J$244,$B17))</f>
        <v/>
      </c>
      <c r="O17" s="40">
        <f>(SUMIFS(TRANSACTIONS!$D$5:$D$244,TRANSACTIONS!$E$5:$E$244,"Sole Prop",TRANSACTIONS!$G$5:$G$244,"Financing",TRANSACTIONS!$J$5:$J$244,$B17)+SUMIFS(TRANSACTIONS!$D$5:$D$244,TRANSACTIONS!$E$5:$E$244,"Corporation",TRANSACTIONS!$G$5:$G$244,"Financing",TRANSACTIONS!$J$5:$J$244,$B17))</f>
        <v/>
      </c>
      <c r="P17" s="41">
        <f>C17+F17+I17+J17+K17+L17</f>
        <v/>
      </c>
      <c r="Q17" s="41">
        <f>SUMIFS(TRANSACTIONS!$D$5:$D$244,TRANSACTIONS!$E$5:$E$244,"Sole Prop",TRANSACTIONS!$J$5:$J$244,$B17)+SUMIFS(TRANSACTIONS!$D$5:$D$244,TRANSACTIONS!$E$5:$E$244,"Corporation",TRANSACTIONS!$J$5:$J$244,$B17)</f>
        <v/>
      </c>
      <c r="R17" s="40">
        <f>SUMIFS(TRANSACTIONS!$D$5:$D$244,TRANSACTIONS!$E$5:$E$244,"Personal",TRANSACTIONS!$J$5:$J$244,$B17)</f>
        <v/>
      </c>
      <c r="S17" s="40">
        <f>S16+SUMIFS(TRANSACTIONS!$D$5:$D$244,TRANSACTIONS!$E$5:$E$244,"Sole Prop",TRANSACTIONS!$J$5:$J$244,$B17)</f>
        <v/>
      </c>
      <c r="T17" s="40">
        <f>T16+SUMIFS(TRANSACTIONS!$D$5:$D$244,TRANSACTIONS!$E$5:$E$244,"Corporation",TRANSACTIONS!$J$5:$J$244,$B17)</f>
        <v/>
      </c>
      <c r="U17" s="40">
        <f>U16+R17</f>
        <v/>
      </c>
      <c r="V17" s="41">
        <f>S17+T17+U17</f>
        <v/>
      </c>
    </row>
    <row r="18">
      <c r="A18" s="45" t="inlineStr">
        <is>
          <t>FULL YEAR</t>
        </is>
      </c>
      <c r="B18" s="47" t="n"/>
      <c r="C18" s="25">
        <f>SUM(C6:C17)</f>
        <v/>
      </c>
      <c r="D18" s="25">
        <f>SUM(D6:D17)</f>
        <v/>
      </c>
      <c r="E18" s="25">
        <f>SUM(E6:E17)</f>
        <v/>
      </c>
      <c r="F18" s="25">
        <f>SUM(F6:F17)</f>
        <v/>
      </c>
      <c r="G18" s="25">
        <f>SUM(G6:G17)</f>
        <v/>
      </c>
      <c r="H18" s="25">
        <f>SUM(H6:H17)</f>
        <v/>
      </c>
      <c r="I18" s="25">
        <f>SUM(I6:I17)</f>
        <v/>
      </c>
      <c r="J18" s="25">
        <f>SUM(J6:J17)</f>
        <v/>
      </c>
      <c r="K18" s="25">
        <f>SUM(K6:K17)</f>
        <v/>
      </c>
      <c r="L18" s="25">
        <f>SUM(L6:L17)</f>
        <v/>
      </c>
      <c r="M18" s="25">
        <f>SUM(M6:M17)</f>
        <v/>
      </c>
      <c r="N18" s="25">
        <f>SUM(N6:N17)</f>
        <v/>
      </c>
      <c r="O18" s="25">
        <f>SUM(O6:O17)</f>
        <v/>
      </c>
      <c r="P18" s="25">
        <f>SUM(P6:P17)</f>
        <v/>
      </c>
      <c r="Q18" s="25">
        <f>SUM(Q6:Q17)</f>
        <v/>
      </c>
      <c r="R18" s="25">
        <f>SUM(R6:R17)</f>
        <v/>
      </c>
      <c r="S18" s="25">
        <f>S17</f>
        <v/>
      </c>
      <c r="T18" s="25">
        <f>T17</f>
        <v/>
      </c>
      <c r="U18" s="25">
        <f>U17</f>
        <v/>
      </c>
      <c r="V18" s="25">
        <f>V17</f>
        <v/>
      </c>
    </row>
    <row r="20">
      <c r="A20" s="26" t="inlineStr">
        <is>
          <t>Sole prop period is Feb-Jun; corporation is Jul-Jan. If sole prop revenue appears after June, or corporate revenue before July, check the entity on those transactions.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6"/>
  <sheetViews>
    <sheetView showGridLines="0" workbookViewId="0">
      <selection activeCell="A1" sqref="A1"/>
    </sheetView>
  </sheetViews>
  <sheetFormatPr baseColWidth="8" defaultRowHeight="15"/>
  <cols>
    <col width="50" customWidth="1" min="1" max="1"/>
    <col width="22" customWidth="1" min="2" max="2"/>
    <col width="22" customWidth="1" min="3" max="3"/>
    <col width="22" customWidth="1" min="4" max="4"/>
  </cols>
  <sheetData>
    <row r="1">
      <c r="A1" s="1" t="inlineStr">
        <is>
          <t>Business Performance — the two entities, never combined</t>
        </is>
      </c>
    </row>
    <row r="2">
      <c r="A2" s="2" t="inlineStr">
        <is>
          <t>Cash basis: this is money that actually moved. It is not accrual profit. GST is stripped out of revenue because it was never yours.</t>
        </is>
      </c>
    </row>
    <row r="4" ht="30" customHeight="1">
      <c r="A4" s="6" t="inlineStr">
        <is>
          <t>Line</t>
        </is>
      </c>
      <c r="B4" s="6" t="inlineStr">
        <is>
          <t>Sole Proprietorship
Feb 1 - Jun 30</t>
        </is>
      </c>
      <c r="C4" s="6" t="inlineStr">
        <is>
          <t>Corporation
Jul 1 - Jan 31</t>
        </is>
      </c>
      <c r="D4" s="6" t="inlineStr">
        <is>
          <t>Combined (memo only)</t>
        </is>
      </c>
    </row>
    <row r="5">
      <c r="A5" s="49" t="inlineStr">
        <is>
          <t>Gross revenue collected (includes GST)</t>
        </is>
      </c>
      <c r="B5" s="24">
        <f>SUMIFS(TRANSACTIONS!$D$5:$D$244,TRANSACTIONS!$E$5:$E$244,"Sole Prop",TRANSACTIONS!$G$5:$G$244,"Revenue")</f>
        <v/>
      </c>
      <c r="C5" s="24">
        <f>SUMIFS(TRANSACTIONS!$D$5:$D$244,TRANSACTIONS!$E$5:$E$244,"Corporation",TRANSACTIONS!$G$5:$G$244,"Revenue")</f>
        <v/>
      </c>
      <c r="D5" s="24">
        <f>B5+C5</f>
        <v/>
      </c>
    </row>
    <row r="6">
      <c r="A6" s="36" t="inlineStr">
        <is>
          <t>Less: GST collected (belongs to CRA)</t>
        </is>
      </c>
      <c r="B6" s="24">
        <f>-SUMIFS(TRANSACTIONS!$I$5:$I$244,TRANSACTIONS!$E$5:$E$244,"Sole Prop",TRANSACTIONS!$G$5:$G$244,"Revenue")</f>
        <v/>
      </c>
      <c r="C6" s="24">
        <f>-SUMIFS(TRANSACTIONS!$I$5:$I$244,TRANSACTIONS!$E$5:$E$244,"Corporation",TRANSACTIONS!$G$5:$G$244,"Revenue")</f>
        <v/>
      </c>
      <c r="D6" s="24">
        <f>B6+C6</f>
        <v/>
      </c>
    </row>
    <row r="7">
      <c r="A7" s="49" t="inlineStr">
        <is>
          <t>REVENUE EXCLUDING GST</t>
        </is>
      </c>
      <c r="B7" s="25">
        <f>B5+B6</f>
        <v/>
      </c>
      <c r="C7" s="25">
        <f>C5+C6</f>
        <v/>
      </c>
      <c r="D7" s="25">
        <f>B7+C7</f>
        <v/>
      </c>
    </row>
    <row r="8">
      <c r="A8" s="36" t="inlineStr">
        <is>
          <t>COGS — materials and plants</t>
        </is>
      </c>
      <c r="B8" s="24">
        <f>SUMIFS(TRANSACTIONS!$D$5:$D$244,TRANSACTIONS!$E$5:$E$244,"Sole Prop",TRANSACTIONS!$F$5:$F$244,"Materials and plants")</f>
        <v/>
      </c>
      <c r="C8" s="24">
        <f>SUMIFS(TRANSACTIONS!$D$5:$D$244,TRANSACTIONS!$E$5:$E$244,"Corporation",TRANSACTIONS!$F$5:$F$244,"Materials and plants")</f>
        <v/>
      </c>
      <c r="D8" s="24">
        <f>B8+C8</f>
        <v/>
      </c>
    </row>
    <row r="9">
      <c r="A9" s="36" t="inlineStr">
        <is>
          <t>COGS — subcontractors</t>
        </is>
      </c>
      <c r="B9" s="24">
        <f>SUMIFS(TRANSACTIONS!$D$5:$D$244,TRANSACTIONS!$E$5:$E$244,"Sole Prop",TRANSACTIONS!$F$5:$F$244,"Subcontractor")</f>
        <v/>
      </c>
      <c r="C9" s="24">
        <f>SUMIFS(TRANSACTIONS!$D$5:$D$244,TRANSACTIONS!$E$5:$E$244,"Corporation",TRANSACTIONS!$F$5:$F$244,"Subcontractor")</f>
        <v/>
      </c>
      <c r="D9" s="24">
        <f>B9+C9</f>
        <v/>
      </c>
    </row>
    <row r="10">
      <c r="A10" s="36" t="inlineStr">
        <is>
          <t>COGS — equipment rental</t>
        </is>
      </c>
      <c r="B10" s="24">
        <f>SUMIFS(TRANSACTIONS!$D$5:$D$244,TRANSACTIONS!$E$5:$E$244,"Sole Prop",TRANSACTIONS!$F$5:$F$244,"Equipment rental")</f>
        <v/>
      </c>
      <c r="C10" s="24">
        <f>SUMIFS(TRANSACTIONS!$D$5:$D$244,TRANSACTIONS!$E$5:$E$244,"Corporation",TRANSACTIONS!$F$5:$F$244,"Equipment rental")</f>
        <v/>
      </c>
      <c r="D10" s="24">
        <f>B10+C10</f>
        <v/>
      </c>
    </row>
    <row r="11">
      <c r="A11" s="36" t="inlineStr">
        <is>
          <t>COGS — disposal and dump fees</t>
        </is>
      </c>
      <c r="B11" s="24">
        <f>SUMIFS(TRANSACTIONS!$D$5:$D$244,TRANSACTIONS!$E$5:$E$244,"Sole Prop",TRANSACTIONS!$F$5:$F$244,"Disposal and dump fees")</f>
        <v/>
      </c>
      <c r="C11" s="24">
        <f>SUMIFS(TRANSACTIONS!$D$5:$D$244,TRANSACTIONS!$E$5:$E$244,"Corporation",TRANSACTIONS!$F$5:$F$244,"Disposal and dump fees")</f>
        <v/>
      </c>
      <c r="D11" s="24">
        <f>B11+C11</f>
        <v/>
      </c>
    </row>
    <row r="12">
      <c r="A12" s="49" t="inlineStr">
        <is>
          <t>GROSS MARGIN</t>
        </is>
      </c>
      <c r="B12" s="25">
        <f>B7+SUM(B8:B11)</f>
        <v/>
      </c>
      <c r="C12" s="25">
        <f>C7+SUM(C8:C11)</f>
        <v/>
      </c>
      <c r="D12" s="25">
        <f>B12+C12</f>
        <v/>
      </c>
    </row>
    <row r="13">
      <c r="A13" s="36" t="inlineStr">
        <is>
          <t>Gross margin %</t>
        </is>
      </c>
      <c r="B13" s="52">
        <f>IF(B7=0,"",B12/B7)</f>
        <v/>
      </c>
      <c r="C13" s="52">
        <f>IF(C7=0,"",C12/C7)</f>
        <v/>
      </c>
      <c r="D13" s="52">
        <f>IF(D7=0,"",D12/D7)</f>
        <v/>
      </c>
    </row>
    <row r="14">
      <c r="A14" s="36" t="inlineStr">
        <is>
          <t>Payroll (crew wages and payroll fees)</t>
        </is>
      </c>
      <c r="B14" s="24">
        <f>SUMIFS(TRANSACTIONS!$D$5:$D$244,TRANSACTIONS!$E$5:$E$244,"Sole Prop",TRANSACTIONS!$G$5:$G$244,"Payroll")</f>
        <v/>
      </c>
      <c r="C14" s="24">
        <f>SUMIFS(TRANSACTIONS!$D$5:$D$244,TRANSACTIONS!$E$5:$E$244,"Corporation",TRANSACTIONS!$G$5:$G$244,"Payroll")</f>
        <v/>
      </c>
      <c r="D14" s="24">
        <f>B14+C14</f>
        <v/>
      </c>
    </row>
    <row r="15">
      <c r="A15" s="36" t="inlineStr">
        <is>
          <t>Vehicle running costs (fuel, repairs, insurance)</t>
        </is>
      </c>
      <c r="B15" s="24">
        <f>SUMIFS(TRANSACTIONS!$D$5:$D$244,TRANSACTIONS!$E$5:$E$244,"Sole Prop",TRANSACTIONS!$F$5:$F$244,"Fuel")+SUMIFS(TRANSACTIONS!$D$5:$D$244,TRANSACTIONS!$E$5:$E$244,"Sole Prop",TRANSACTIONS!$F$5:$F$244,"Vehicle repairs and maintenance")+SUMIFS(TRANSACTIONS!$D$5:$D$244,TRANSACTIONS!$E$5:$E$244,"Sole Prop",TRANSACTIONS!$F$5:$F$244,"Vehicle insurance")</f>
        <v/>
      </c>
      <c r="C15" s="24">
        <f>SUMIFS(TRANSACTIONS!$D$5:$D$244,TRANSACTIONS!$E$5:$E$244,"Corporation",TRANSACTIONS!$F$5:$F$244,"Fuel")+SUMIFS(TRANSACTIONS!$D$5:$D$244,TRANSACTIONS!$E$5:$E$244,"Corporation",TRANSACTIONS!$F$5:$F$244,"Vehicle repairs and maintenance")+SUMIFS(TRANSACTIONS!$D$5:$D$244,TRANSACTIONS!$E$5:$E$244,"Corporation",TRANSACTIONS!$F$5:$F$244,"Vehicle insurance")</f>
        <v/>
      </c>
      <c r="D15" s="24">
        <f>B15+C15</f>
        <v/>
      </c>
    </row>
    <row r="16">
      <c r="A16" s="36" t="inlineStr">
        <is>
          <t>All other operating expenses</t>
        </is>
      </c>
      <c r="B16" s="24">
        <f>(SUMIFS(TRANSACTIONS!$D$5:$D$244,TRANSACTIONS!$E$5:$E$244,"Sole Prop",TRANSACTIONS!$G$5:$G$244,"Operating Expense")-(SUMIFS(TRANSACTIONS!$D$5:$D$244,TRANSACTIONS!$E$5:$E$244,"Sole Prop",TRANSACTIONS!$F$5:$F$244,"Fuel")+SUMIFS(TRANSACTIONS!$D$5:$D$244,TRANSACTIONS!$E$5:$E$244,"Sole Prop",TRANSACTIONS!$F$5:$F$244,"Vehicle repairs and maintenance")+SUMIFS(TRANSACTIONS!$D$5:$D$244,TRANSACTIONS!$E$5:$E$244,"Sole Prop",TRANSACTIONS!$F$5:$F$244,"Vehicle insurance")))</f>
        <v/>
      </c>
      <c r="C16" s="24">
        <f>(SUMIFS(TRANSACTIONS!$D$5:$D$244,TRANSACTIONS!$E$5:$E$244,"Corporation",TRANSACTIONS!$G$5:$G$244,"Operating Expense")-(SUMIFS(TRANSACTIONS!$D$5:$D$244,TRANSACTIONS!$E$5:$E$244,"Corporation",TRANSACTIONS!$F$5:$F$244,"Fuel")+SUMIFS(TRANSACTIONS!$D$5:$D$244,TRANSACTIONS!$E$5:$E$244,"Corporation",TRANSACTIONS!$F$5:$F$244,"Vehicle repairs and maintenance")+SUMIFS(TRANSACTIONS!$D$5:$D$244,TRANSACTIONS!$E$5:$E$244,"Corporation",TRANSACTIONS!$F$5:$F$244,"Vehicle insurance")))</f>
        <v/>
      </c>
      <c r="D16" s="24">
        <f>B16+C16</f>
        <v/>
      </c>
    </row>
    <row r="17">
      <c r="A17" s="49" t="inlineStr">
        <is>
          <t>APPROXIMATE OPERATING PROFIT (cash basis)</t>
        </is>
      </c>
      <c r="B17" s="25">
        <f>B12+SUM(B14:B16)</f>
        <v/>
      </c>
      <c r="C17" s="25">
        <f>C12+SUM(C14:C16)</f>
        <v/>
      </c>
      <c r="D17" s="25">
        <f>B17+C17</f>
        <v/>
      </c>
    </row>
    <row r="18">
      <c r="A18" s="36" t="inlineStr">
        <is>
          <t>Operating margin %</t>
        </is>
      </c>
      <c r="B18" s="52">
        <f>IF(B7=0,"",B17/B7)</f>
        <v/>
      </c>
      <c r="C18" s="52">
        <f>IF(C7=0,"",C17/C7)</f>
        <v/>
      </c>
      <c r="D18" s="52">
        <f>IF(D7=0,"",D17/D7)</f>
        <v/>
      </c>
    </row>
    <row r="19">
      <c r="A19" s="36" t="inlineStr"/>
    </row>
    <row r="20">
      <c r="A20" s="53" t="inlineStr">
        <is>
          <t>Reconciliation from profit to cash</t>
        </is>
      </c>
      <c r="B20" s="54" t="n"/>
      <c r="C20" s="54" t="n"/>
    </row>
    <row r="21">
      <c r="A21" s="36" t="inlineStr">
        <is>
          <t>Capital purchases (vehicles, equipment)</t>
        </is>
      </c>
      <c r="B21" s="24">
        <f>SUMIFS(TRANSACTIONS!$D$5:$D$244,TRANSACTIONS!$E$5:$E$244,"Sole Prop",TRANSACTIONS!$G$5:$G$244,"Capital Purchase")</f>
        <v/>
      </c>
      <c r="C21" s="24">
        <f>SUMIFS(TRANSACTIONS!$D$5:$D$244,TRANSACTIONS!$E$5:$E$244,"Corporation",TRANSACTIONS!$G$5:$G$244,"Capital Purchase")</f>
        <v/>
      </c>
      <c r="D21" s="24">
        <f>B21+C21</f>
        <v/>
      </c>
    </row>
    <row r="22">
      <c r="A22" s="36" t="inlineStr">
        <is>
          <t>Financing — loans, leases, contributions (net)</t>
        </is>
      </c>
      <c r="B22" s="24">
        <f>SUMIFS(TRANSACTIONS!$D$5:$D$244,TRANSACTIONS!$E$5:$E$244,"Sole Prop",TRANSACTIONS!$G$5:$G$244,"Financing")</f>
        <v/>
      </c>
      <c r="C22" s="24">
        <f>SUMIFS(TRANSACTIONS!$D$5:$D$244,TRANSACTIONS!$E$5:$E$244,"Corporation",TRANSACTIONS!$G$5:$G$244,"Financing")</f>
        <v/>
      </c>
      <c r="D22" s="24">
        <f>B22+C22</f>
        <v/>
      </c>
    </row>
    <row r="23">
      <c r="A23" s="36" t="inlineStr">
        <is>
          <t>Taxes and remittances paid (incl. GST remitted)</t>
        </is>
      </c>
      <c r="B23" s="24">
        <f>SUMIFS(TRANSACTIONS!$D$5:$D$244,TRANSACTIONS!$E$5:$E$244,"Sole Prop",TRANSACTIONS!$G$5:$G$244,"Tax/Remittance")</f>
        <v/>
      </c>
      <c r="C23" s="24">
        <f>SUMIFS(TRANSACTIONS!$D$5:$D$244,TRANSACTIONS!$E$5:$E$244,"Corporation",TRANSACTIONS!$G$5:$G$244,"Tax/Remittance")</f>
        <v/>
      </c>
      <c r="D23" s="24">
        <f>B23+C23</f>
        <v/>
      </c>
    </row>
    <row r="24">
      <c r="A24" s="36" t="inlineStr">
        <is>
          <t>Owner draws / compensation</t>
        </is>
      </c>
      <c r="B24" s="24">
        <f>SUMIFS(TRANSACTIONS!$D$5:$D$244,TRANSACTIONS!$E$5:$E$244,"Sole Prop",TRANSACTIONS!$G$5:$G$244,"Owner Draw/Comp")</f>
        <v/>
      </c>
      <c r="C24" s="24">
        <f>SUMIFS(TRANSACTIONS!$D$5:$D$244,TRANSACTIONS!$E$5:$E$244,"Corporation",TRANSACTIONS!$G$5:$G$244,"Owner Draw/Comp")</f>
        <v/>
      </c>
      <c r="D24" s="24">
        <f>B24+C24</f>
        <v/>
      </c>
    </row>
    <row r="25">
      <c r="A25" s="36" t="inlineStr">
        <is>
          <t>GST collected but not yet remitted (add back)</t>
        </is>
      </c>
      <c r="B25" s="24">
        <f>-B6</f>
        <v/>
      </c>
      <c r="C25" s="24">
        <f>-C6</f>
        <v/>
      </c>
      <c r="D25" s="24">
        <f>B25+C25</f>
        <v/>
      </c>
    </row>
    <row r="26">
      <c r="A26" s="36" t="inlineStr">
        <is>
          <t>Net transfers in / out</t>
        </is>
      </c>
      <c r="B26" s="24">
        <f>SUMIFS(TRANSACTIONS!$D$5:$D$244,TRANSACTIONS!$E$5:$E$244,"Sole Prop",TRANSACTIONS!$G$5:$G$244,"Transfer")</f>
        <v/>
      </c>
      <c r="C26" s="24">
        <f>SUMIFS(TRANSACTIONS!$D$5:$D$244,TRANSACTIONS!$E$5:$E$244,"Corporation",TRANSACTIONS!$G$5:$G$244,"Transfer")</f>
        <v/>
      </c>
      <c r="D26" s="24">
        <f>B26+C26</f>
        <v/>
      </c>
    </row>
    <row r="27">
      <c r="A27" s="36" t="inlineStr">
        <is>
          <t>Unclassified</t>
        </is>
      </c>
      <c r="B27" s="24">
        <f>SUMIFS(TRANSACTIONS!$D$5:$D$244,TRANSACTIONS!$E$5:$E$244,"Sole Prop",TRANSACTIONS!$G$5:$G$244,"Review")</f>
        <v/>
      </c>
      <c r="C27" s="24">
        <f>SUMIFS(TRANSACTIONS!$D$5:$D$244,TRANSACTIONS!$E$5:$E$244,"Corporation",TRANSACTIONS!$G$5:$G$244,"Review")</f>
        <v/>
      </c>
      <c r="D27" s="24">
        <f>B27+C27</f>
        <v/>
      </c>
    </row>
    <row r="28">
      <c r="A28" s="49" t="inlineStr">
        <is>
          <t>CASH GENERATED / (USED)</t>
        </is>
      </c>
      <c r="B28" s="25">
        <f>B17+SUM(B21:B27)</f>
        <v/>
      </c>
      <c r="C28" s="25">
        <f>C17+SUM(C21:C27)</f>
        <v/>
      </c>
      <c r="D28" s="25">
        <f>B28+C28</f>
        <v/>
      </c>
    </row>
    <row r="29">
      <c r="A29" s="36" t="inlineStr">
        <is>
          <t>Opening cash</t>
        </is>
      </c>
      <c r="B29" s="37">
        <f>'ACCOUNT MAP'!$E$48</f>
        <v/>
      </c>
      <c r="C29" s="37">
        <f>'ACCOUNT MAP'!$E$49</f>
        <v/>
      </c>
      <c r="D29" s="24">
        <f>B29+C29</f>
        <v/>
      </c>
    </row>
    <row r="30">
      <c r="A30" s="49" t="inlineStr">
        <is>
          <t>ENDING CASH</t>
        </is>
      </c>
      <c r="B30" s="25">
        <f>B28+B29</f>
        <v/>
      </c>
      <c r="C30" s="25">
        <f>C28+C29</f>
        <v/>
      </c>
      <c r="D30" s="25">
        <f>B30+C30</f>
        <v/>
      </c>
    </row>
    <row r="32">
      <c r="A32" s="46" t="inlineStr">
        <is>
          <t>Cross-check: this ending cash vs CASH RECONCILIATION (must be zero)</t>
        </is>
      </c>
      <c r="B32" s="44">
        <f>B30-'CASH RECONCILIATION'!C19</f>
        <v/>
      </c>
      <c r="C32" s="44">
        <f>C30-'CASH RECONCILIATION'!D19</f>
        <v/>
      </c>
    </row>
    <row r="34">
      <c r="A34" s="26" t="inlineStr">
        <is>
          <t>Operating profit here is CASH received less CASH paid. It is not accrual profit: unpaid invoices are not in it, and unpaid bills are not either.</t>
        </is>
      </c>
    </row>
    <row r="35">
      <c r="A35" s="26" t="inlineStr">
        <is>
          <t>The reconciliation block below the profit line is the cash-versus-profit bridge. Capital purchases, loan principal, owner draws and GST timing are the usual reasons a profitable season leaves you with no money.</t>
        </is>
      </c>
    </row>
    <row r="36">
      <c r="A36" s="26" t="inlineStr">
        <is>
          <t>The Combined column is a memo total only. The two entities are separate taxpayers and must never be combined for tax or legal purposes.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56" customWidth="1" min="1" max="1"/>
    <col width="18" customWidth="1" min="2" max="2"/>
    <col width="18" customWidth="1" min="3" max="3"/>
    <col width="18" customWidth="1" min="4" max="4"/>
    <col width="62" customWidth="1" min="5" max="5"/>
  </cols>
  <sheetData>
    <row r="1">
      <c r="A1" s="1" t="inlineStr">
        <is>
          <t>CRA Liability — money in your account that is not yours</t>
        </is>
      </c>
    </row>
    <row r="2">
      <c r="A2" s="2" t="inlineStr">
        <is>
          <t>You confirmed no GST and no payroll remittances have been made this year. This tab sizes what is owed. Treat it as the first claim on cash, ahead of every other use.</t>
        </is>
      </c>
    </row>
    <row r="4">
      <c r="A4" s="55" t="inlineStr">
        <is>
          <t>1. GST — collected but not remitted</t>
        </is>
      </c>
      <c r="B4" s="56" t="n"/>
      <c r="C4" s="56" t="n"/>
      <c r="D4" s="56" t="n"/>
      <c r="E4" s="56" t="n"/>
    </row>
    <row r="5">
      <c r="A5" s="36" t="inlineStr">
        <is>
          <t>GST collected on all revenue (from TRANSACTIONS column I)</t>
        </is>
      </c>
      <c r="B5" s="24">
        <f>SUMIFS(TRANSACTIONS!$I$5:$I$244,TRANSACTIONS!$E$5:$E$244,"Sole Prop")+SUMIFS(TRANSACTIONS!$I$5:$I$244,TRANSACTIONS!$E$5:$E$244,"Corporation")</f>
        <v/>
      </c>
      <c r="E5" s="57" t="inlineStr">
        <is>
          <t>If you did not track GST per deposit, enter it manually below instead.</t>
        </is>
      </c>
    </row>
    <row r="6">
      <c r="A6" s="36" t="inlineStr">
        <is>
          <t>OR: manual override — total GST collected</t>
        </is>
      </c>
      <c r="B6" s="19" t="n"/>
      <c r="E6" s="57" t="inlineStr">
        <is>
          <t>Use this if column I is blank. Rough method: revenue that included GST divided by 1.05, times 0.05.</t>
        </is>
      </c>
    </row>
    <row r="7">
      <c r="A7" s="36" t="inlineStr">
        <is>
          <t>Input tax credits — GST you paid on supplies, fuel, equipment</t>
        </is>
      </c>
      <c r="B7" s="19" t="n"/>
      <c r="E7" s="57" t="inlineStr">
        <is>
          <t>Enter as a POSITIVE number. This reduces what you owe. Roughly 5% of GST-bearing business purchases. Worth reconstructing from receipts — it is real money back.</t>
        </is>
      </c>
    </row>
    <row r="8">
      <c r="A8" s="49" t="inlineStr">
        <is>
          <t>NET GST OWING (estimate)</t>
        </is>
      </c>
      <c r="B8" s="25">
        <f>MAX(0,IF(B6&gt;0,B6,B5)-B7)</f>
        <v/>
      </c>
      <c r="E8" s="57" t="inlineStr">
        <is>
          <t>Sole prop and corporation file separately. If the corporation did not register for its own GST number, that is a separate problem — flag it with your accountant.</t>
        </is>
      </c>
    </row>
    <row r="9">
      <c r="A9" s="36" t="inlineStr">
        <is>
          <t>Estimated late-filing penalty and interest</t>
        </is>
      </c>
      <c r="B9" s="24">
        <f>B8*ASSUMPTIONS!$C$17</f>
        <v/>
      </c>
      <c r="E9" s="57" t="inlineStr">
        <is>
          <t>ESTIMATE. GST late-filing penalty is calculated on a formula tied to how late you are, plus interest. This is an order-of-magnitude placeholder, not a computed amount.</t>
        </is>
      </c>
    </row>
    <row r="11">
      <c r="A11" s="55" t="inlineStr">
        <is>
          <t>2. Payroll source deductions — withheld but not remitted</t>
        </is>
      </c>
      <c r="B11" s="56" t="n"/>
      <c r="C11" s="56" t="n"/>
      <c r="D11" s="56" t="n"/>
      <c r="E11" s="56" t="n"/>
    </row>
    <row r="12">
      <c r="A12" s="36" t="inlineStr">
        <is>
          <t>Gross wages paid to employees, year to date</t>
        </is>
      </c>
      <c r="B12" s="19" t="n">
        <v>16381.73</v>
      </c>
      <c r="E12" s="57" t="inlineStr">
        <is>
          <t>GROSS, before deductions. If you have been paying Kierran the full $27/hr with nothing withheld, then no deductions were actually taken and the whole employer+employee amount is owed out of business cash.</t>
        </is>
      </c>
    </row>
    <row r="13">
      <c r="A13" s="36" t="inlineStr">
        <is>
          <t>CPP — employee and employer combined</t>
        </is>
      </c>
      <c r="B13" s="24">
        <f>MAX(0,B12-ASSUMPTIONS!$C$13)*ASSUMPTIONS!$C$12*2</f>
        <v/>
      </c>
      <c r="E13" s="57" t="inlineStr">
        <is>
          <t>ESTIMATE. Employer must match the employee portion dollar for dollar.</t>
        </is>
      </c>
    </row>
    <row r="14">
      <c r="A14" s="36" t="inlineStr">
        <is>
          <t>EI — employee and employer combined</t>
        </is>
      </c>
      <c r="B14" s="24">
        <f>B12*ASSUMPTIONS!$C$14*(1+ASSUMPTIONS!$C$15)</f>
        <v/>
      </c>
      <c r="E14" s="57" t="inlineStr">
        <is>
          <t>ESTIMATE. Employer pays 1.4x the employee premium.</t>
        </is>
      </c>
    </row>
    <row r="15">
      <c r="A15" s="36" t="inlineStr">
        <is>
          <t>Income tax that should have been withheld</t>
        </is>
      </c>
      <c r="B15" s="24">
        <f>B12*ASSUMPTIONS!$C$16</f>
        <v/>
      </c>
      <c r="E15" s="57" t="inlineStr">
        <is>
          <t>ESTIMATE at the assumed blended rate. Replace with a real payroll calculation.</t>
        </is>
      </c>
    </row>
    <row r="16">
      <c r="A16" s="49" t="inlineStr">
        <is>
          <t>TOTAL PAYROLL REMITTANCE OWING (estimate)</t>
        </is>
      </c>
      <c r="B16" s="25">
        <f>SUM(B13:B15)</f>
        <v/>
      </c>
    </row>
    <row r="17">
      <c r="A17" s="36" t="inlineStr">
        <is>
          <t>Estimated penalty</t>
        </is>
      </c>
      <c r="B17" s="24">
        <f>B16*ASSUMPTIONS!$C$17</f>
        <v/>
      </c>
      <c r="E17" s="57" t="inlineStr">
        <is>
          <t>10% on a first failure, 20% if repeated or grossly negligent, plus interest. Source deductions are trust funds — CRA treats these far more seriously than an unpaid tax bill.</t>
        </is>
      </c>
    </row>
    <row r="19">
      <c r="A19" s="55" t="inlineStr">
        <is>
          <t>3. Income tax not yet paid</t>
        </is>
      </c>
      <c r="B19" s="56" t="n"/>
      <c r="C19" s="56" t="n"/>
      <c r="D19" s="56" t="n"/>
      <c r="E19" s="56" t="n"/>
    </row>
    <row r="20">
      <c r="A20" s="36" t="inlineStr">
        <is>
          <t>Sole prop net income, Feb-Jun (from BUSINESS PERFORMANCE)</t>
        </is>
      </c>
      <c r="B20" s="24">
        <f>'BUSINESS PERFORMANCE'!B17</f>
        <v/>
      </c>
      <c r="E20" s="57" t="inlineStr">
        <is>
          <t>Cash-basis operating profit. Your actual taxable income will differ once receivables, payables and depreciation are counted.</t>
        </is>
      </c>
    </row>
    <row r="21">
      <c r="A21" s="36" t="inlineStr">
        <is>
          <t>Personal tax reserve on sole prop income</t>
        </is>
      </c>
      <c r="B21" s="24">
        <f>MAX(0,B20)*ASSUMPTIONS!$C$19</f>
        <v/>
      </c>
      <c r="E21" s="57" t="inlineStr">
        <is>
          <t>ESTIMATE at the reserve rate on ASSUMPTIONS. This is YOUR personal tax, payable April 30, 2027.</t>
        </is>
      </c>
    </row>
    <row r="22">
      <c r="A22" s="36" t="inlineStr">
        <is>
          <t>Corporate net income, Jul-Jan (from BUSINESS PERFORMANCE)</t>
        </is>
      </c>
      <c r="B22" s="24">
        <f>'BUSINESS PERFORMANCE'!C17</f>
        <v/>
      </c>
    </row>
    <row r="23">
      <c r="A23" s="36" t="inlineStr">
        <is>
          <t>Corporate tax reserve</t>
        </is>
      </c>
      <c r="B23" s="24">
        <f>MAX(0,B22)*ASSUMPTIONS!$C$18</f>
        <v/>
      </c>
      <c r="E23" s="57" t="inlineStr">
        <is>
          <t>ESTIMATE. Due roughly 3 months after the Jan 31 year end. Owner salary, if declared, reduces this — but creates payroll remittances instead.</t>
        </is>
      </c>
    </row>
    <row r="25">
      <c r="A25" s="55" t="inlineStr">
        <is>
          <t>4. Total</t>
        </is>
      </c>
      <c r="B25" s="56" t="n"/>
      <c r="C25" s="56" t="n"/>
      <c r="D25" s="56" t="n"/>
      <c r="E25" s="56" t="n"/>
    </row>
    <row r="26">
      <c r="A26" s="49" t="inlineStr">
        <is>
          <t>TOTAL OWED TO CRA (estimate, including penalties)</t>
        </is>
      </c>
      <c r="B26" s="25">
        <f>B8+B9+B16+B17+B21+B23</f>
        <v/>
      </c>
      <c r="E26" s="57" t="inlineStr">
        <is>
          <t>This is the amount that must come out of your cash before you can call anything deployable.</t>
        </is>
      </c>
    </row>
    <row r="27">
      <c r="A27" s="36" t="inlineStr">
        <is>
          <t>Total business cash on hand</t>
        </is>
      </c>
      <c r="B27" s="24">
        <f>'CASH RECONCILIATION'!C19+'CASH RECONCILIATION'!D19</f>
        <v/>
      </c>
      <c r="E27" s="57" t="inlineStr">
        <is>
          <t>Sole prop plus corporation.</t>
        </is>
      </c>
    </row>
    <row r="28">
      <c r="A28" s="49" t="inlineStr">
        <is>
          <t>BUSINESS CASH AFTER CRA IS PAID</t>
        </is>
      </c>
      <c r="B28" s="25">
        <f>B27-B26</f>
        <v/>
      </c>
      <c r="E28" s="57" t="inlineStr">
        <is>
          <t>If this is negative, you have a solvency problem, not a planning problem. Deal with CRA first.</t>
        </is>
      </c>
    </row>
    <row r="31" ht="26" customHeight="1">
      <c r="A31" s="58" t="inlineStr">
        <is>
          <t>DIRECTOR LIABILITY: as a director of the corporation you are personally liable for unremitted source deductions and GST. Incorporating does not protect you from these two specific debts. It does protect you from most ordinary trade debt.</t>
        </is>
      </c>
    </row>
    <row r="32" ht="26" customHeight="1">
      <c r="A32" s="58" t="inlineStr">
        <is>
          <t>The sole proprietorship's GST and payroll obligations are yours personally in any case — a sole prop is not a separate legal person.</t>
        </is>
      </c>
    </row>
    <row r="33" ht="26" customHeight="1">
      <c r="A33" s="58" t="inlineStr">
        <is>
          <t>Voluntary disclosure: filing and paying before CRA contacts you generally produces a far better outcome than waiting. Talk to an accountant about the Voluntary Disclosures Program before you file, not after.</t>
        </is>
      </c>
    </row>
    <row r="34" ht="26" customHeight="1">
      <c r="A34" s="58" t="inlineStr">
        <is>
          <t>Every figure on this tab is an ESTIMATE built on the rates in ASSUMPTIONS. It is sized to tell you the order of magnitude and to stop you spending money that is not yours. It is not a filing.</t>
        </is>
      </c>
    </row>
  </sheetData>
  <mergeCells count="4">
    <mergeCell ref="A33:E33"/>
    <mergeCell ref="A34:E34"/>
    <mergeCell ref="A32:E32"/>
    <mergeCell ref="A31:E3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52" customWidth="1" min="2" max="2"/>
    <col width="18" customWidth="1" min="3" max="3"/>
    <col width="74" customWidth="1" min="4" max="4"/>
  </cols>
  <sheetData>
    <row r="1">
      <c r="A1" s="1" t="inlineStr">
        <is>
          <t>Cash Quality — what the bank balance actually means</t>
        </is>
      </c>
    </row>
    <row r="2">
      <c r="A2" s="2" t="inlineStr">
        <is>
          <t>A balance is not the same as available money. This tab strips out what is already committed.</t>
        </is>
      </c>
    </row>
    <row r="5" ht="28" customHeight="1">
      <c r="A5" s="59" t="inlineStr">
        <is>
          <t>A</t>
        </is>
      </c>
      <c r="B5" s="36" t="inlineStr">
        <is>
          <t>Total business cash on hand (sole prop + corporation)</t>
        </is>
      </c>
      <c r="C5" s="24">
        <f>'CASH RECONCILIATION'!C19+'CASH RECONCILIATION'!D19</f>
        <v/>
      </c>
      <c r="D5" s="57" t="inlineStr">
        <is>
          <t>From the reconciliation. Only counts if the difference row there is zero.</t>
        </is>
      </c>
    </row>
    <row r="6" ht="28" customHeight="1">
      <c r="A6" s="59" t="inlineStr">
        <is>
          <t>B</t>
        </is>
      </c>
      <c r="B6" s="36" t="inlineStr">
        <is>
          <t>Less: total owed to CRA (GST, payroll, income tax, penalties)</t>
        </is>
      </c>
      <c r="C6" s="24">
        <f>-'CRA LIABILITY'!B26</f>
        <v/>
      </c>
      <c r="D6" s="57" t="inlineStr">
        <is>
          <t>Not your money. This comes off before anything else.</t>
        </is>
      </c>
    </row>
    <row r="7" ht="28" customHeight="1">
      <c r="A7" s="59" t="inlineStr">
        <is>
          <t>C</t>
        </is>
      </c>
      <c r="B7" s="36" t="inlineStr">
        <is>
          <t>Cash after CRA is settled</t>
        </is>
      </c>
      <c r="C7" s="25">
        <f>C5+C6</f>
        <v/>
      </c>
      <c r="D7" s="57" t="inlineStr">
        <is>
          <t>The real starting point for every decision below.</t>
        </is>
      </c>
    </row>
    <row r="8" ht="28" customHeight="1">
      <c r="A8" s="59" t="inlineStr">
        <is>
          <t>D</t>
        </is>
      </c>
      <c r="B8" s="36" t="inlineStr">
        <is>
          <t>Average monthly operating cost (opex + payroll)</t>
        </is>
      </c>
      <c r="C8" s="24">
        <f>ABS('MONTH BY MONTH'!J18+'MONTH BY MONTH'!K18)/12</f>
        <v/>
      </c>
      <c r="D8" s="57" t="inlineStr">
        <is>
          <t>Full-year average. Seasonal businesses run well above this in summer and below it in winter.</t>
        </is>
      </c>
    </row>
    <row r="9" ht="28" customHeight="1">
      <c r="A9" s="59" t="inlineStr">
        <is>
          <t>E</t>
        </is>
      </c>
      <c r="B9" s="36" t="inlineStr">
        <is>
          <t>Recommended operating reserve</t>
        </is>
      </c>
      <c r="C9" s="24">
        <f>C8*ASSUMPTIONS!$C$20</f>
        <v/>
      </c>
      <c r="D9" s="57" t="inlineStr">
        <is>
          <t>Months of reserve set on ASSUMPTIONS. For a seasonal trade with a winter revenue gap, three months is a floor, not a target.</t>
        </is>
      </c>
    </row>
    <row r="10" ht="28" customHeight="1">
      <c r="A10" s="59" t="inlineStr">
        <is>
          <t>F</t>
        </is>
      </c>
      <c r="B10" s="36" t="inlineStr">
        <is>
          <t>DEPLOYABLE CAPITAL</t>
        </is>
      </c>
      <c r="C10" s="25">
        <f>MAX(0,C7-C9)</f>
        <v/>
      </c>
      <c r="D10" s="57" t="inlineStr">
        <is>
          <t>What you could actually spend on vehicles, equipment, hiring or growth without putting the business under pressure. If this is zero, the answer to every spending question is no.</t>
        </is>
      </c>
    </row>
    <row r="12" ht="28" customHeight="1">
      <c r="A12" s="59" t="inlineStr">
        <is>
          <t>1</t>
        </is>
      </c>
      <c r="B12" s="36" t="inlineStr">
        <is>
          <t>How much cash is truly available for business use?</t>
        </is>
      </c>
      <c r="C12" s="38">
        <f>C10</f>
        <v/>
      </c>
      <c r="D12" s="57" t="inlineStr">
        <is>
          <t>Deployable capital, line F.</t>
        </is>
      </c>
    </row>
    <row r="13" ht="28" customHeight="1">
      <c r="A13" s="59" t="inlineStr">
        <is>
          <t>2</t>
        </is>
      </c>
      <c r="B13" s="36" t="inlineStr">
        <is>
          <t>How much should be reserved for taxes?</t>
        </is>
      </c>
      <c r="C13" s="24">
        <f>'CRA LIABILITY'!B26</f>
        <v/>
      </c>
      <c r="D13" s="57" t="inlineStr">
        <is>
          <t>Everything on the CRA LIABILITY tab. Move it to a separate savings account today — money in the operating account gets spent.</t>
        </is>
      </c>
    </row>
    <row r="14" ht="28" customHeight="1">
      <c r="A14" s="59" t="inlineStr">
        <is>
          <t>3</t>
        </is>
      </c>
      <c r="B14" s="36" t="inlineStr">
        <is>
          <t>How much should stay as an operating emergency reserve?</t>
        </is>
      </c>
      <c r="C14" s="24">
        <f>C9</f>
        <v/>
      </c>
      <c r="D14" s="57" t="inlineStr">
        <is>
          <t>Held in cash, not invested, not in a term deposit you cannot break.</t>
        </is>
      </c>
    </row>
    <row r="15" ht="28" customHeight="1">
      <c r="A15" s="59" t="inlineStr">
        <is>
          <t>4</t>
        </is>
      </c>
      <c r="B15" s="36" t="inlineStr">
        <is>
          <t>How much could go into vehicles and equipment?</t>
        </is>
      </c>
      <c r="C15" s="24">
        <f>MAX(0,C10*0.5)</f>
        <v/>
      </c>
      <c r="D15" s="57" t="inlineStr">
        <is>
          <t>Half of deployable capital as a working rule, so a single purchase does not consume the entire buffer. See VEHICLE SCENARIOS.</t>
        </is>
      </c>
    </row>
    <row r="16" ht="28" customHeight="1">
      <c r="A16" s="59" t="inlineStr">
        <is>
          <t>5</t>
        </is>
      </c>
      <c r="B16" s="36" t="inlineStr">
        <is>
          <t>How much could be taken personally?</t>
        </is>
      </c>
      <c r="C16" s="24">
        <f>MAX(0,C10*0.3)</f>
        <v/>
      </c>
      <c r="D16" s="57" t="inlineStr">
        <is>
          <t>Roughly a third of deployable capital, AFTER the CRA reserve is funded. Note this is on top of the $4,000/month you are already drawing.</t>
        </is>
      </c>
    </row>
    <row r="17" ht="28" customHeight="1">
      <c r="A17" s="59" t="inlineStr">
        <is>
          <t>6</t>
        </is>
      </c>
      <c r="B17" s="36" t="inlineStr">
        <is>
          <t>How many months of operating expenses does the business hold?</t>
        </is>
      </c>
      <c r="C17" s="60">
        <f>IF(C8=0,"",C7/C8)</f>
        <v/>
      </c>
      <c r="D17" s="57" t="inlineStr">
        <is>
          <t>Counts cash after CRA. Under 3 is fragile for a seasonal business facing a winter with no revenue.</t>
        </is>
      </c>
    </row>
    <row r="18" ht="28" customHeight="1">
      <c r="A18" s="59" t="inlineStr">
        <is>
          <t>7</t>
        </is>
      </c>
      <c r="B18" s="36" t="inlineStr">
        <is>
          <t>Approximate monthly cash burn</t>
        </is>
      </c>
      <c r="C18" s="24">
        <f>C8</f>
        <v/>
      </c>
      <c r="D18" s="57" t="inlineStr">
        <is>
          <t>What leaves the account each month on average for opex and payroll.</t>
        </is>
      </c>
    </row>
    <row r="19" ht="28" customHeight="1">
      <c r="A19" s="59" t="inlineStr">
        <is>
          <t>8</t>
        </is>
      </c>
      <c r="B19" s="36" t="inlineStr">
        <is>
          <t>Average monthly revenue, excluding GST</t>
        </is>
      </c>
      <c r="C19" s="24">
        <f>IF(ASSUMPTIONS!$C$21=0,"",('BUSINESS PERFORMANCE'!B7+'BUSINESS PERFORMANCE'!C7)/ASSUMPTIONS!$C$21)</f>
        <v/>
      </c>
      <c r="D19" s="57" t="inlineStr">
        <is>
          <t>Averaged over revenue-generating months only, not all 12. Set that month count on ASSUMPTIONS.</t>
        </is>
      </c>
    </row>
    <row r="20" ht="28" customHeight="1">
      <c r="A20" s="59" t="inlineStr">
        <is>
          <t>9</t>
        </is>
      </c>
      <c r="B20" s="36" t="inlineStr">
        <is>
          <t>Average monthly operating cost</t>
        </is>
      </c>
      <c r="C20" s="24">
        <f>C8</f>
        <v/>
      </c>
      <c r="D20" s="57" t="inlineStr">
        <is>
          <t>Same as line D.</t>
        </is>
      </c>
    </row>
    <row r="21" ht="28" customHeight="1">
      <c r="A21" s="59" t="inlineStr">
        <is>
          <t>10</t>
        </is>
      </c>
      <c r="B21" s="36" t="inlineStr">
        <is>
          <t>Approximate monthly free cash generation</t>
        </is>
      </c>
      <c r="C21" s="24">
        <f>IF(ASSUMPTIONS!$C$21=0,"",('BUSINESS PERFORMANCE'!D17)/ASSUMPTIONS!$C$21)</f>
        <v/>
      </c>
      <c r="D21" s="57" t="inlineStr">
        <is>
          <t>Operating profit per active month. This is what funds everything: your pay, reserves, equipment, growth.</t>
        </is>
      </c>
    </row>
    <row r="23" ht="28" customHeight="1">
      <c r="A23" s="59" t="inlineStr">
        <is>
          <t>W</t>
        </is>
      </c>
      <c r="B23" s="36" t="inlineStr">
        <is>
          <t>Winter burn — cost of the non-revenue months</t>
        </is>
      </c>
      <c r="C23" s="24">
        <f>C8*(12-ASSUMPTIONS!$C$21)</f>
        <v/>
      </c>
      <c r="D23" s="57" t="inlineStr">
        <is>
          <t>What it costs to keep the business alive from the end of the season to the start of the next one. This must be sitting in cash before winter, not hoped for.</t>
        </is>
      </c>
    </row>
    <row r="24" ht="28" customHeight="1">
      <c r="A24" s="59" t="inlineStr">
        <is>
          <t>X</t>
        </is>
      </c>
      <c r="B24" s="36" t="inlineStr">
        <is>
          <t>Owner draws taken from the corporation, annualised</t>
        </is>
      </c>
      <c r="C24" s="24">
        <f>ASSUMPTIONS!$C$10*7</f>
        <v/>
      </c>
      <c r="D24" s="57" t="inlineStr">
        <is>
          <t>$4,000/month across the seven corporate months. Currently a shareholder loan, not salary or dividend.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Vehicle Purchase — what each price does to your reserves</t>
        </is>
      </c>
    </row>
    <row r="2">
      <c r="A2" s="2" t="inlineStr">
        <is>
          <t>Every column starts from deployable capital on CASH QUALITY. A verdict of NO means the purchase would eat the operating reserve.</t>
        </is>
      </c>
    </row>
    <row r="4" ht="30" customHeight="1">
      <c r="A4" s="6" t="inlineStr">
        <is>
          <t>Line</t>
        </is>
      </c>
      <c r="B4" s="6" t="inlineStr">
        <is>
          <t>$20,000</t>
        </is>
      </c>
      <c r="C4" s="6" t="inlineStr">
        <is>
          <t>$30,000</t>
        </is>
      </c>
      <c r="D4" s="6" t="inlineStr">
        <is>
          <t>$40,000</t>
        </is>
      </c>
      <c r="E4" s="6" t="inlineStr">
        <is>
          <t>$50,000</t>
        </is>
      </c>
    </row>
    <row r="5">
      <c r="A5" s="36" t="inlineStr">
        <is>
          <t>Vehicle price before tax</t>
        </is>
      </c>
    </row>
    <row r="6">
      <c r="A6" s="36" t="inlineStr">
        <is>
          <t>GST at 5%</t>
        </is>
      </c>
      <c r="B6" s="24">
        <f>B5*ASSUMPTIONS!$C$11</f>
        <v/>
      </c>
      <c r="C6" s="24">
        <f>C5*ASSUMPTIONS!$C$11</f>
        <v/>
      </c>
      <c r="D6" s="24">
        <f>D5*ASSUMPTIONS!$C$11</f>
        <v/>
      </c>
      <c r="E6" s="24">
        <f>E5*ASSUMPTIONS!$C$11</f>
        <v/>
      </c>
    </row>
    <row r="7">
      <c r="A7" s="49" t="inlineStr">
        <is>
          <t>Total cash out if purchased outright</t>
        </is>
      </c>
      <c r="B7" s="25">
        <f>B5+B6</f>
        <v/>
      </c>
      <c r="C7" s="25">
        <f>C5+C6</f>
        <v/>
      </c>
      <c r="D7" s="25">
        <f>D5+D6</f>
        <v/>
      </c>
      <c r="E7" s="25">
        <f>E5+E6</f>
        <v/>
      </c>
    </row>
    <row r="8">
      <c r="A8" s="36" t="inlineStr"/>
    </row>
    <row r="9">
      <c r="A9" s="53" t="inlineStr">
        <is>
          <t>PAID IN CASH</t>
        </is>
      </c>
      <c r="B9" s="54" t="n"/>
      <c r="C9" s="54" t="n"/>
      <c r="D9" s="54" t="n"/>
      <c r="E9" s="54" t="n"/>
    </row>
    <row r="10">
      <c r="A10" s="36" t="inlineStr">
        <is>
          <t>Deployable capital before purchase</t>
        </is>
      </c>
      <c r="B10" s="37">
        <f>'CASH QUALITY'!$C$10</f>
        <v/>
      </c>
      <c r="C10" s="37">
        <f>'CASH QUALITY'!$C$10</f>
        <v/>
      </c>
      <c r="D10" s="37">
        <f>'CASH QUALITY'!$C$10</f>
        <v/>
      </c>
      <c r="E10" s="37">
        <f>'CASH QUALITY'!$C$10</f>
        <v/>
      </c>
    </row>
    <row r="11">
      <c r="A11" s="49" t="inlineStr">
        <is>
          <t>Deployable capital after purchase</t>
        </is>
      </c>
      <c r="B11" s="25">
        <f>B10-B7</f>
        <v/>
      </c>
      <c r="C11" s="25">
        <f>C10-C7</f>
        <v/>
      </c>
      <c r="D11" s="25">
        <f>D10-D7</f>
        <v/>
      </c>
      <c r="E11" s="25">
        <f>E10-E7</f>
        <v/>
      </c>
    </row>
    <row r="12">
      <c r="A12" s="36" t="inlineStr">
        <is>
          <t>Months of operating cost still covered</t>
        </is>
      </c>
      <c r="B12" s="60">
        <f>IF('CASH QUALITY'!$C$8=0,"",('CASH QUALITY'!$C$7-B7)/'CASH QUALITY'!$C$8)</f>
        <v/>
      </c>
      <c r="C12" s="60">
        <f>IF('CASH QUALITY'!$C$8=0,"",('CASH QUALITY'!$C$7-C7)/'CASH QUALITY'!$C$8)</f>
        <v/>
      </c>
      <c r="D12" s="60">
        <f>IF('CASH QUALITY'!$C$8=0,"",('CASH QUALITY'!$C$7-D7)/'CASH QUALITY'!$C$8)</f>
        <v/>
      </c>
      <c r="E12" s="60">
        <f>IF('CASH QUALITY'!$C$8=0,"",('CASH QUALITY'!$C$7-E7)/'CASH QUALITY'!$C$8)</f>
        <v/>
      </c>
    </row>
    <row r="13">
      <c r="A13" s="49" t="inlineStr">
        <is>
          <t>Verdict</t>
        </is>
      </c>
      <c r="B13" s="61">
        <f>IF(B11&lt;0,"NO - eats the reserve",IF(B11&lt;B7,"TIGHT - review","OK"))</f>
        <v/>
      </c>
      <c r="C13" s="61">
        <f>IF(C11&lt;0,"NO - eats the reserve",IF(C11&lt;C7,"TIGHT - review","OK"))</f>
        <v/>
      </c>
      <c r="D13" s="61">
        <f>IF(D11&lt;0,"NO - eats the reserve",IF(D11&lt;D7,"TIGHT - review","OK"))</f>
        <v/>
      </c>
      <c r="E13" s="61">
        <f>IF(E11&lt;0,"NO - eats the reserve",IF(E11&lt;E7,"TIGHT - review","OK"))</f>
        <v/>
      </c>
    </row>
    <row r="14">
      <c r="A14" s="36" t="inlineStr"/>
    </row>
    <row r="15">
      <c r="A15" s="53" t="inlineStr">
        <is>
          <t>FINANCED</t>
        </is>
      </c>
      <c r="B15" s="54" t="n"/>
      <c r="C15" s="54" t="n"/>
      <c r="D15" s="54" t="n"/>
      <c r="E15" s="54" t="n"/>
    </row>
    <row r="16">
      <c r="A16" s="36" t="inlineStr">
        <is>
          <t>Down payment at 15%</t>
        </is>
      </c>
      <c r="B16" s="24">
        <f>B7*0.15</f>
        <v/>
      </c>
      <c r="C16" s="24">
        <f>C7*0.15</f>
        <v/>
      </c>
      <c r="D16" s="24">
        <f>D7*0.15</f>
        <v/>
      </c>
      <c r="E16" s="24">
        <f>E7*0.15</f>
        <v/>
      </c>
    </row>
    <row r="17">
      <c r="A17" s="36" t="inlineStr">
        <is>
          <t>Amount financed</t>
        </is>
      </c>
      <c r="B17" s="24">
        <f>B7-B16</f>
        <v/>
      </c>
      <c r="C17" s="24">
        <f>C7-C16</f>
        <v/>
      </c>
      <c r="D17" s="24">
        <f>D7-D16</f>
        <v/>
      </c>
      <c r="E17" s="24">
        <f>E7-E16</f>
        <v/>
      </c>
    </row>
    <row r="18">
      <c r="A18" s="36" t="inlineStr">
        <is>
          <t>Estimated monthly payment (60 months, 9%)</t>
        </is>
      </c>
      <c r="B18" s="24">
        <f>-PMT(0.09/12,60,B17)</f>
        <v/>
      </c>
      <c r="C18" s="24">
        <f>-PMT(0.09/12,60,C17)</f>
        <v/>
      </c>
      <c r="D18" s="24">
        <f>-PMT(0.09/12,60,D17)</f>
        <v/>
      </c>
      <c r="E18" s="24">
        <f>-PMT(0.09/12,60,E17)</f>
        <v/>
      </c>
    </row>
    <row r="19">
      <c r="A19" s="36" t="inlineStr">
        <is>
          <t>Annual payment burden</t>
        </is>
      </c>
      <c r="B19" s="24">
        <f>B18*12</f>
        <v/>
      </c>
      <c r="C19" s="24">
        <f>C18*12</f>
        <v/>
      </c>
      <c r="D19" s="24">
        <f>D18*12</f>
        <v/>
      </c>
      <c r="E19" s="24">
        <f>E18*12</f>
        <v/>
      </c>
    </row>
    <row r="20">
      <c r="A20" s="36" t="inlineStr">
        <is>
          <t>Payment as % of average monthly revenue</t>
        </is>
      </c>
      <c r="B20" s="52">
        <f>IF('CASH QUALITY'!$C$19=0,"",B18/'CASH QUALITY'!$C$19)</f>
        <v/>
      </c>
      <c r="C20" s="52">
        <f>IF('CASH QUALITY'!$C$19=0,"",C18/'CASH QUALITY'!$C$19)</f>
        <v/>
      </c>
      <c r="D20" s="52">
        <f>IF('CASH QUALITY'!$C$19=0,"",D18/'CASH QUALITY'!$C$19)</f>
        <v/>
      </c>
      <c r="E20" s="52">
        <f>IF('CASH QUALITY'!$C$19=0,"",E18/'CASH QUALITY'!$C$19)</f>
        <v/>
      </c>
    </row>
    <row r="21">
      <c r="A21" s="36" t="inlineStr">
        <is>
          <t>Deployable capital after down payment</t>
        </is>
      </c>
      <c r="B21" s="25">
        <f>'CASH QUALITY'!$C$10-B16</f>
        <v/>
      </c>
      <c r="C21" s="25">
        <f>'CASH QUALITY'!$C$10-C16</f>
        <v/>
      </c>
      <c r="D21" s="25">
        <f>'CASH QUALITY'!$C$10-D16</f>
        <v/>
      </c>
      <c r="E21" s="25">
        <f>'CASH QUALITY'!$C$10-E16</f>
        <v/>
      </c>
    </row>
    <row r="22">
      <c r="A22" s="49" t="inlineStr">
        <is>
          <t>Verdict</t>
        </is>
      </c>
      <c r="B22" s="61">
        <f>IF(B21&lt;0,"NO",IF(B20&gt;0.08,"HEAVY - payment too large","OK"))</f>
        <v/>
      </c>
      <c r="C22" s="61">
        <f>IF(C21&lt;0,"NO",IF(C20&gt;0.08,"HEAVY - payment too large","OK"))</f>
        <v/>
      </c>
      <c r="D22" s="61">
        <f>IF(D21&lt;0,"NO",IF(D20&gt;0.08,"HEAVY - payment too large","OK"))</f>
        <v/>
      </c>
      <c r="E22" s="61">
        <f>IF(E21&lt;0,"NO",IF(E20&gt;0.08,"HEAVY - payment too large","OK"))</f>
        <v/>
      </c>
    </row>
    <row r="24">
      <c r="A24" s="26" t="inlineStr">
        <is>
          <t>Financing rate and term are placeholders (9%, 60 months). Replace them with a real quote before deciding.</t>
        </is>
      </c>
    </row>
    <row r="25">
      <c r="A25" s="26" t="inlineStr">
        <is>
          <t>A financed vehicle preserves cash but adds a fixed monthly payment that does not care whether it rained all month. For a seasonal business that matters more than the interest rate.</t>
        </is>
      </c>
    </row>
    <row r="26">
      <c r="A26" s="26" t="inlineStr">
        <is>
          <t>GST paid on a business vehicle is generally recoverable as an input tax credit, which improves the real cost — but only once you are filing GST again.</t>
        </is>
      </c>
    </row>
    <row r="27">
      <c r="A27" s="26" t="inlineStr">
        <is>
          <t>A used vehicle bought privately carries no GST but no warranty either. Neither is captured here.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7" customWidth="1" min="5" max="5"/>
    <col width="58" customWidth="1" min="6" max="6"/>
  </cols>
  <sheetData>
    <row r="1">
      <c r="A1" s="1" t="inlineStr">
        <is>
          <t>Next Season — three scenarios</t>
        </is>
      </c>
    </row>
    <row r="2">
      <c r="A2" s="2" t="inlineStr">
        <is>
          <t>Column E is what actually happened this year, pulled from your data. B, C and D scale off it using the blue multipliers. Change a multiplier and the scenario moves.</t>
        </is>
      </c>
    </row>
    <row r="4" ht="30" customHeight="1">
      <c r="A4" s="6" t="inlineStr">
        <is>
          <t>Line</t>
        </is>
      </c>
      <c r="B4" s="6" t="inlineStr">
        <is>
          <t>Conservative</t>
        </is>
      </c>
      <c r="C4" s="6" t="inlineStr">
        <is>
          <t>Base</t>
        </is>
      </c>
      <c r="D4" s="6" t="inlineStr">
        <is>
          <t>Aggressive</t>
        </is>
      </c>
      <c r="E4" s="6" t="inlineStr">
        <is>
          <t>Actual this year</t>
        </is>
      </c>
      <c r="F4" s="6" t="inlineStr">
        <is>
          <t>Note</t>
        </is>
      </c>
    </row>
    <row r="5">
      <c r="A5" s="53" t="inlineStr">
        <is>
          <t>DRIVERS — change these</t>
        </is>
      </c>
      <c r="B5" s="54" t="n"/>
      <c r="C5" s="54" t="n"/>
      <c r="D5" s="54" t="n"/>
      <c r="E5" s="54" t="n"/>
      <c r="F5" s="57" t="inlineStr"/>
    </row>
    <row r="6">
      <c r="A6" s="36" t="inlineStr">
        <is>
          <t>Revenue multiplier vs this year</t>
        </is>
      </c>
      <c r="B6" s="62" t="n">
        <v>0.8</v>
      </c>
      <c r="C6" s="62" t="n">
        <v>1</v>
      </c>
      <c r="D6" s="62" t="n">
        <v>1.35</v>
      </c>
      <c r="E6" s="54" t="n"/>
      <c r="F6" s="57" t="inlineStr">
        <is>
          <t>Conservative assumes a weaker season. Aggressive assumes you add capacity and it sells.</t>
        </is>
      </c>
    </row>
    <row r="7">
      <c r="A7" s="36" t="inlineStr">
        <is>
          <t>Cost inflation multiplier</t>
        </is>
      </c>
      <c r="B7" s="62" t="n">
        <v>1.08</v>
      </c>
      <c r="C7" s="62" t="n">
        <v>1.03</v>
      </c>
      <c r="D7" s="62" t="n">
        <v>1.05</v>
      </c>
      <c r="E7" s="54" t="n"/>
      <c r="F7" s="57" t="inlineStr">
        <is>
          <t>Applied to fixed operating costs.</t>
        </is>
      </c>
    </row>
    <row r="8">
      <c r="A8" s="36" t="inlineStr">
        <is>
          <t>Crew members (excluding you)</t>
        </is>
      </c>
      <c r="B8" s="63" t="n">
        <v>1</v>
      </c>
      <c r="C8" s="63" t="n">
        <v>1</v>
      </c>
      <c r="D8" s="63" t="n">
        <v>2</v>
      </c>
      <c r="E8" s="54" t="n"/>
      <c r="F8" s="57" t="inlineStr">
        <is>
          <t>You currently have Kierran. Aggressive assumes a second hire.</t>
        </is>
      </c>
    </row>
    <row r="9">
      <c r="A9" s="36" t="inlineStr">
        <is>
          <t>Paid hours per crew member per year</t>
        </is>
      </c>
      <c r="B9" s="63" t="n">
        <v>1200</v>
      </c>
      <c r="C9" s="63" t="n">
        <v>1400</v>
      </c>
      <c r="D9" s="63" t="n">
        <v>1500</v>
      </c>
      <c r="E9" s="54" t="n"/>
      <c r="F9" s="57" t="inlineStr">
        <is>
          <t>Nine active months at roughly 35-40 hours a week. Adjust to what you actually ran.</t>
        </is>
      </c>
    </row>
    <row r="10">
      <c r="A10" s="36" t="inlineStr">
        <is>
          <t>Employer burden on wages</t>
        </is>
      </c>
      <c r="B10" s="62" t="n">
        <v>0.13</v>
      </c>
      <c r="C10" s="62" t="n">
        <v>0.13</v>
      </c>
      <c r="D10" s="62" t="n">
        <v>0.13</v>
      </c>
      <c r="E10" s="54" t="n"/>
      <c r="F10" s="57" t="inlineStr">
        <is>
          <t>Employer CPP and EI plus WorkSafeBC. Roughly 13%. This is the cost above the hourly rate.</t>
        </is>
      </c>
    </row>
    <row r="12">
      <c r="A12" s="53" t="inlineStr">
        <is>
          <t>PROFIT AND LOSS</t>
        </is>
      </c>
      <c r="B12" s="54" t="n"/>
      <c r="C12" s="54" t="n"/>
      <c r="D12" s="54" t="n"/>
      <c r="E12" s="54" t="n"/>
      <c r="F12" s="57" t="inlineStr"/>
    </row>
    <row r="13">
      <c r="A13" s="36" t="inlineStr">
        <is>
          <t>Revenue excluding GST</t>
        </is>
      </c>
      <c r="B13" s="24">
        <f>$E13*B6</f>
        <v/>
      </c>
      <c r="C13" s="24">
        <f>$E13*C6</f>
        <v/>
      </c>
      <c r="D13" s="24">
        <f>$E13*D6</f>
        <v/>
      </c>
      <c r="E13" s="37">
        <f>'BUSINESS PERFORMANCE'!D7</f>
        <v/>
      </c>
      <c r="F13" s="57" t="inlineStr">
        <is>
          <t>Scales off what you actually collected, GST removed.</t>
        </is>
      </c>
    </row>
    <row r="14">
      <c r="A14" s="36" t="inlineStr">
        <is>
          <t>COGS as % of revenue</t>
        </is>
      </c>
      <c r="B14" s="52">
        <f>$E14</f>
        <v/>
      </c>
      <c r="C14" s="52">
        <f>$E14</f>
        <v/>
      </c>
      <c r="D14" s="52">
        <f>$E14*0.97</f>
        <v/>
      </c>
      <c r="E14" s="64">
        <f>IF('BUSINESS PERFORMANCE'!D7=0,0.35,ABS('MONTH BY MONTH'!I18)/'BUSINESS PERFORMANCE'!D7)</f>
        <v/>
      </c>
      <c r="F14" s="57" t="inlineStr">
        <is>
          <t>Your actual materials-and-subs ratio. Aggressive assumes a small buying advantage at volume. Defaults to 35% until you have data.</t>
        </is>
      </c>
    </row>
    <row r="15">
      <c r="A15" s="36" t="inlineStr">
        <is>
          <t>COGS — materials, plants, subs, rentals</t>
        </is>
      </c>
      <c r="B15" s="24">
        <f>-B13*B14</f>
        <v/>
      </c>
      <c r="C15" s="24">
        <f>-C13*C14</f>
        <v/>
      </c>
      <c r="D15" s="24">
        <f>-D13*D14</f>
        <v/>
      </c>
      <c r="E15" s="37">
        <f>-ABS('MONTH BY MONTH'!I18)</f>
        <v/>
      </c>
      <c r="F15" s="57" t="inlineStr"/>
    </row>
    <row r="16">
      <c r="A16" s="49" t="inlineStr">
        <is>
          <t>GROSS MARGIN</t>
        </is>
      </c>
      <c r="B16" s="25">
        <f>B13+B15</f>
        <v/>
      </c>
      <c r="C16" s="25">
        <f>C13+C15</f>
        <v/>
      </c>
      <c r="D16" s="25">
        <f>D13+D15</f>
        <v/>
      </c>
      <c r="E16" s="37">
        <f>E13+E15</f>
        <v/>
      </c>
      <c r="F16" s="57" t="inlineStr"/>
    </row>
    <row r="17">
      <c r="A17" s="36" t="inlineStr">
        <is>
          <t>Gross margin %</t>
        </is>
      </c>
      <c r="B17" s="52">
        <f>IF(B13=0,"",B16/B13)</f>
        <v/>
      </c>
      <c r="C17" s="52">
        <f>IF(C13=0,"",C16/C13)</f>
        <v/>
      </c>
      <c r="D17" s="52">
        <f>IF(D13=0,"",D16/D13)</f>
        <v/>
      </c>
      <c r="E17" s="64">
        <f>IF(E13=0,"",E16/E13)</f>
        <v/>
      </c>
      <c r="F17" s="57" t="inlineStr"/>
    </row>
    <row r="18">
      <c r="A18" s="36" t="inlineStr">
        <is>
          <t>Crew payroll including employer burden</t>
        </is>
      </c>
      <c r="B18" s="24">
        <f>-B8*B9*ASSUMPTIONS!$C$9*(1+B10)</f>
        <v/>
      </c>
      <c r="C18" s="24">
        <f>-C8*C9*ASSUMPTIONS!$C$9*(1+C10)</f>
        <v/>
      </c>
      <c r="D18" s="24">
        <f>-D8*D9*ASSUMPTIONS!$C$9*(1+D10)</f>
        <v/>
      </c>
      <c r="E18" s="37">
        <f>-ABS('MONTH BY MONTH'!K18)</f>
        <v/>
      </c>
      <c r="F18" s="57" t="inlineStr">
        <is>
          <t>Crew x hours x $27.00 x 1.13. The burden is the part people forget.</t>
        </is>
      </c>
    </row>
    <row r="19">
      <c r="A19" s="36" t="inlineStr">
        <is>
          <t>Fixed and operating costs</t>
        </is>
      </c>
      <c r="B19" s="24">
        <f>-$E19*B7</f>
        <v/>
      </c>
      <c r="C19" s="24">
        <f>-$E19*C7</f>
        <v/>
      </c>
      <c r="D19" s="24">
        <f>-$E19*D7</f>
        <v/>
      </c>
      <c r="E19" s="37">
        <f>ABS('MONTH BY MONTH'!J18)</f>
        <v/>
      </c>
      <c r="F19" s="57" t="inlineStr">
        <is>
          <t>Insurance, fuel, vehicle, phone, software, accounting, WorkSafeBC, marketing.</t>
        </is>
      </c>
    </row>
    <row r="20">
      <c r="A20" s="49" t="inlineStr">
        <is>
          <t>OPERATING PROFIT (before your pay)</t>
        </is>
      </c>
      <c r="B20" s="25">
        <f>B16+B18+B19</f>
        <v/>
      </c>
      <c r="C20" s="25">
        <f>C16+C18+C19</f>
        <v/>
      </c>
      <c r="D20" s="25">
        <f>D16+D18+D19</f>
        <v/>
      </c>
      <c r="E20" s="37">
        <f>E16+E18+E19</f>
        <v/>
      </c>
      <c r="F20" s="57" t="inlineStr">
        <is>
          <t>This is what has to cover your own compensation, tax, reserves and growth.</t>
        </is>
      </c>
    </row>
    <row r="21">
      <c r="A21" s="36" t="inlineStr">
        <is>
          <t>Operating margin %</t>
        </is>
      </c>
      <c r="B21" s="52">
        <f>IF(B13=0,"",B20/B13)</f>
        <v/>
      </c>
      <c r="C21" s="52">
        <f>IF(C13=0,"",C20/C13)</f>
        <v/>
      </c>
      <c r="D21" s="52">
        <f>IF(D13=0,"",D20/D13)</f>
        <v/>
      </c>
      <c r="E21" s="64">
        <f>IF(E13=0,"",E20/E13)</f>
        <v/>
      </c>
      <c r="F21" s="57" t="inlineStr"/>
    </row>
    <row r="23">
      <c r="A23" s="53" t="inlineStr">
        <is>
          <t>WHAT IS LEFT</t>
        </is>
      </c>
      <c r="B23" s="54" t="n"/>
      <c r="C23" s="54" t="n"/>
      <c r="D23" s="54" t="n"/>
      <c r="E23" s="54" t="n"/>
      <c r="F23" s="57" t="inlineStr"/>
    </row>
    <row r="24">
      <c r="A24" s="36" t="inlineStr">
        <is>
          <t>Your compensation (salary or dividend)</t>
        </is>
      </c>
      <c r="B24" s="24">
        <f>-ASSUMPTIONS!$C$10*12</f>
        <v/>
      </c>
      <c r="C24" s="24">
        <f>-ASSUMPTIONS!$C$10*12</f>
        <v/>
      </c>
      <c r="D24" s="24">
        <f>-ASSUMPTIONS!$C$10*12</f>
        <v/>
      </c>
      <c r="E24" s="37">
        <f>-ASSUMPTIONS!$C$10*7</f>
        <v/>
      </c>
      <c r="F24" s="57" t="inlineStr">
        <is>
          <t>Currently $4,000/month. Actual column shows the seven corporate months. Decide salary vs dividend with your accountant before year end.</t>
        </is>
      </c>
    </row>
    <row r="25">
      <c r="A25" s="49" t="inlineStr">
        <is>
          <t>Income before tax</t>
        </is>
      </c>
      <c r="B25" s="25">
        <f>B20+B24</f>
        <v/>
      </c>
      <c r="C25" s="25">
        <f>C20+C24</f>
        <v/>
      </c>
      <c r="D25" s="25">
        <f>D20+D24</f>
        <v/>
      </c>
      <c r="E25" s="37">
        <f>E20+E24</f>
        <v/>
      </c>
      <c r="F25" s="57" t="inlineStr"/>
    </row>
    <row r="26">
      <c r="A26" s="36" t="inlineStr">
        <is>
          <t>Estimated tax</t>
        </is>
      </c>
      <c r="B26" s="24">
        <f>-MAX(0,B25)*ASSUMPTIONS!$C$18</f>
        <v/>
      </c>
      <c r="C26" s="24">
        <f>-MAX(0,C25)*ASSUMPTIONS!$C$18</f>
        <v/>
      </c>
      <c r="D26" s="24">
        <f>-MAX(0,D25)*ASSUMPTIONS!$C$18</f>
        <v/>
      </c>
      <c r="E26" s="37">
        <f>-MAX(0,E25)*ASSUMPTIONS!$C$18</f>
        <v/>
      </c>
      <c r="F26" s="57" t="inlineStr">
        <is>
          <t>ESTIMATE at the small-business rate on ASSUMPTIONS. Salary paid to you reduces this but creates payroll remittances.</t>
        </is>
      </c>
    </row>
    <row r="27">
      <c r="A27" s="49" t="inlineStr">
        <is>
          <t>FREE CASH GENERATED</t>
        </is>
      </c>
      <c r="B27" s="25">
        <f>B25+B26</f>
        <v/>
      </c>
      <c r="C27" s="25">
        <f>C25+C26</f>
        <v/>
      </c>
      <c r="D27" s="25">
        <f>D25+D26</f>
        <v/>
      </c>
      <c r="E27" s="37">
        <f>E25+E26</f>
        <v/>
      </c>
      <c r="F27" s="57" t="inlineStr">
        <is>
          <t>Cash the business keeps after paying you and setting tax aside.</t>
        </is>
      </c>
    </row>
    <row r="28">
      <c r="A28" s="36" t="inlineStr">
        <is>
          <t>Ending business cash (starting + free cash)</t>
        </is>
      </c>
      <c r="B28" s="24">
        <f>'CASH QUALITY'!$C$7+B27</f>
        <v/>
      </c>
      <c r="C28" s="24">
        <f>'CASH QUALITY'!$C$7+C27</f>
        <v/>
      </c>
      <c r="D28" s="24">
        <f>'CASH QUALITY'!$C$7+D27</f>
        <v/>
      </c>
      <c r="E28" s="54" t="n"/>
      <c r="F28" s="57" t="inlineStr">
        <is>
          <t>Starts from cash after CRA is settled, not from the raw bank balance.</t>
        </is>
      </c>
    </row>
    <row r="29">
      <c r="A29" s="36" t="inlineStr">
        <is>
          <t>Less: operating reserve to hold back</t>
        </is>
      </c>
      <c r="B29" s="24">
        <f>-'CASH QUALITY'!$C$9</f>
        <v/>
      </c>
      <c r="C29" s="24">
        <f>-'CASH QUALITY'!$C$9</f>
        <v/>
      </c>
      <c r="D29" s="24">
        <f>-'CASH QUALITY'!$C$9</f>
        <v/>
      </c>
      <c r="E29" s="54" t="n"/>
      <c r="F29" s="57" t="inlineStr"/>
    </row>
    <row r="30">
      <c r="A30" s="49" t="inlineStr">
        <is>
          <t>AVAILABLE FOR REINVESTMENT</t>
        </is>
      </c>
      <c r="B30" s="25">
        <f>MAX(0,B28+B29)</f>
        <v/>
      </c>
      <c r="C30" s="25">
        <f>MAX(0,C28+C29)</f>
        <v/>
      </c>
      <c r="D30" s="25">
        <f>MAX(0,D28+D29)</f>
        <v/>
      </c>
      <c r="E30" s="54" t="n"/>
      <c r="F30" s="57" t="inlineStr">
        <is>
          <t>Vehicles, equipment, a second hire, or a bigger buffer. Not all three.</t>
        </is>
      </c>
    </row>
    <row r="32">
      <c r="A32" s="36" t="inlineStr">
        <is>
          <t>Additional payroll the business could support</t>
        </is>
      </c>
      <c r="B32" s="24">
        <f>MAX(0,B27*0.5)</f>
        <v/>
      </c>
      <c r="C32" s="24">
        <f>MAX(0,C27*0.5)</f>
        <v/>
      </c>
      <c r="D32" s="24">
        <f>MAX(0,D27*0.5)</f>
        <v/>
      </c>
      <c r="E32" s="54" t="n"/>
      <c r="F32" s="57" t="inlineStr">
        <is>
          <t>Half of free cash as a ceiling, so a hire cannot consume all the slack. At $27/hr plus 13% burden that is roughly this many hours:</t>
        </is>
      </c>
    </row>
    <row r="33">
      <c r="A33" s="36" t="inlineStr">
        <is>
          <t xml:space="preserve">   equivalent paid hours at $27.00 + burden</t>
        </is>
      </c>
      <c r="B33" s="65">
        <f>B32/(ASSUMPTIONS!$C$9*1.13)</f>
        <v/>
      </c>
      <c r="C33" s="65">
        <f>C32/(ASSUMPTIONS!$C$9*1.13)</f>
        <v/>
      </c>
      <c r="D33" s="65">
        <f>D32/(ASSUMPTIONS!$C$9*1.13)</f>
        <v/>
      </c>
      <c r="E33" s="54" t="n"/>
      <c r="F33" s="5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5" customWidth="1" min="1" max="1"/>
    <col width="40" customWidth="1" min="2" max="2"/>
    <col width="16" customWidth="1" min="3" max="3"/>
    <col width="52" customWidth="1" min="4" max="4"/>
    <col width="46" customWidth="1" min="5" max="5"/>
  </cols>
  <sheetData>
    <row r="1">
      <c r="A1" s="1" t="inlineStr">
        <is>
          <t>Flags — everything that needs your answer before these numbers are reliable</t>
        </is>
      </c>
    </row>
    <row r="2">
      <c r="A2" s="2" t="inlineStr">
        <is>
          <t>Counts update as you enter data. A number above zero means the analysis is not yet trustworthy in that respect.</t>
        </is>
      </c>
    </row>
    <row r="4" ht="30" customHeight="1">
      <c r="A4" s="6" t="inlineStr">
        <is>
          <t>#</t>
        </is>
      </c>
      <c r="B4" s="6" t="inlineStr">
        <is>
          <t>What the model found</t>
        </is>
      </c>
      <c r="C4" s="6" t="inlineStr">
        <is>
          <t>Count / amount</t>
        </is>
      </c>
      <c r="D4" s="6" t="inlineStr">
        <is>
          <t>Why it matters</t>
        </is>
      </c>
      <c r="E4" s="6" t="inlineStr">
        <is>
          <t>What to provide</t>
        </is>
      </c>
    </row>
    <row r="5" ht="42" customHeight="1">
      <c r="A5" s="7" t="n">
        <v>1</v>
      </c>
      <c r="B5" s="28" t="inlineStr">
        <is>
          <t>Transactions with no category chosen</t>
        </is>
      </c>
      <c r="C5" s="66">
        <f>COUNTIFS(TRANSACTIONS!$A$5:$A$244,"&lt;&gt;",TRANSACTIONS!$F$5:$F$244,"")</f>
        <v/>
      </c>
      <c r="D5" s="10" t="inlineStr">
        <is>
          <t>An uncategorised row is invisible to every revenue, expense and profit figure, but still moves cash. It is the commonest source of a reconciliation that will not balance.</t>
        </is>
      </c>
      <c r="E5" s="10" t="inlineStr">
        <is>
          <t>Go through TRANSACTIONS column F and pick a category on every row.</t>
        </is>
      </c>
    </row>
    <row r="6" ht="42" customHeight="1">
      <c r="A6" s="7" t="n">
        <v>2</v>
      </c>
      <c r="B6" s="28" t="inlineStr">
        <is>
          <t>Transactions marked UNCLEAR</t>
        </is>
      </c>
      <c r="C6" s="66">
        <f>COUNTIFS(TRANSACTIONS!$F$5:$F$244,"! UNCLEAR - NEEDS REVIEW")</f>
        <v/>
      </c>
      <c r="D6" s="10" t="inlineStr">
        <is>
          <t>You flagged these yourself. Each one could be revenue, an expense, a transfer or personal.</t>
        </is>
      </c>
      <c r="E6" s="10" t="inlineStr">
        <is>
          <t>Tell me the date, amount and what you remember about each.</t>
        </is>
      </c>
    </row>
    <row r="7" ht="42" customHeight="1">
      <c r="A7" s="7" t="n">
        <v>3</v>
      </c>
      <c r="B7" s="28" t="inlineStr">
        <is>
          <t>Value of unclear transactions</t>
        </is>
      </c>
      <c r="C7" s="67">
        <f>SUMIFS(TRANSACTIONS!$D$5:$D$244,TRANSACTIONS!$F$5:$F$244,"! UNCLEAR - NEEDS REVIEW")</f>
        <v/>
      </c>
      <c r="D7" s="10" t="inlineStr">
        <is>
          <t>This is how much money is currently unexplained. If it is large relative to your cash, nothing downstream is reliable.</t>
        </is>
      </c>
      <c r="E7" s="10" t="inlineStr">
        <is>
          <t>Same as above.</t>
        </is>
      </c>
    </row>
    <row r="8" ht="42" customHeight="1">
      <c r="A8" s="7" t="n">
        <v>4</v>
      </c>
      <c r="B8" s="28" t="inlineStr">
        <is>
          <t>Accounts used in TRANSACTIONS but missing from ACCOUNT MAP</t>
        </is>
      </c>
      <c r="C8" s="66">
        <f>SUMPRODUCT(--(TRANSACTIONS!$B$5:$B$244&lt;&gt;""),--(ISNA(MATCH(TRANSACTIONS!$B$5:$B$244,'ACCOUNT MAP'!$A$6:$A$44,0))))</f>
        <v/>
      </c>
      <c r="D8" s="10" t="inlineStr">
        <is>
          <t>A transaction on an unmapped account has no entity, so it is excluded from every entity total while still being real money.</t>
        </is>
      </c>
      <c r="E8" s="10" t="inlineStr">
        <is>
          <t>Add the account to ACCOUNT MAP, or fix the spelling so it matches exactly.</t>
        </is>
      </c>
    </row>
    <row r="9" ht="42" customHeight="1">
      <c r="A9" s="7" t="n">
        <v>5</v>
      </c>
      <c r="B9" s="28" t="inlineStr">
        <is>
          <t>Accounts on ACCOUNT MAP marked UNSURE</t>
        </is>
      </c>
      <c r="C9" s="66">
        <f>COUNTIFS('ACCOUNT MAP'!$C$6:$C$44,"UNSURE - FLAG IT")</f>
        <v/>
      </c>
      <c r="D9" s="10" t="inlineStr">
        <is>
          <t>An account assigned to the wrong entity moves money between the sole prop, the corporation and you personally — which has tax consequences.</t>
        </is>
      </c>
      <c r="E9" s="10" t="inlineStr">
        <is>
          <t>Tell me whose name the account is in and what it is used for.</t>
        </is>
      </c>
    </row>
    <row r="10" ht="42" customHeight="1">
      <c r="A10" s="7" t="n">
        <v>6</v>
      </c>
      <c r="B10" s="28" t="inlineStr">
        <is>
          <t>Transfers with no matching pair id</t>
        </is>
      </c>
      <c r="C10" s="66">
        <f>COUNTIFS(TRANSACTIONS!$G$5:$G$244,"Transfer",TRANSACTIONS!$H$5:$H$244,"")</f>
        <v/>
      </c>
      <c r="D10" s="10" t="inlineStr">
        <is>
          <t>An unpaired transfer usually means only one side was entered. That is exactly how $10,000 moved between accounts gets counted as $10,000 of new income.</t>
        </is>
      </c>
      <c r="E10" s="10" t="inlineStr">
        <is>
          <t>Put the same id (T1, T2...) on both the money-out row and the money-in row.</t>
        </is>
      </c>
    </row>
    <row r="11" ht="42" customHeight="1">
      <c r="A11" s="7" t="n">
        <v>7</v>
      </c>
      <c r="B11" s="28" t="inlineStr">
        <is>
          <t>Net value of all transfers (should be near zero)</t>
        </is>
      </c>
      <c r="C11" s="67">
        <f>SUMIFS(TRANSACTIONS!$D$5:$D$244,TRANSACTIONS!$G$5:$G$244,"Transfer")</f>
        <v/>
      </c>
      <c r="D11" s="10" t="inlineStr">
        <is>
          <t>Across all your accounts, transfers must net to roughly zero. A large number means a missing side or an account you have not loaded.</t>
        </is>
      </c>
      <c r="E11" s="10" t="inlineStr">
        <is>
          <t>Find the missing counterpart transaction.</t>
        </is>
      </c>
    </row>
    <row r="12" ht="42" customHeight="1">
      <c r="A12" s="7" t="n">
        <v>8</v>
      </c>
      <c r="B12" s="28" t="inlineStr">
        <is>
          <t>Revenue rows with no GST recorded</t>
        </is>
      </c>
      <c r="C12" s="66">
        <f>COUNTIFS(TRANSACTIONS!$G$5:$G$244,"Revenue",TRANSACTIONS!$I$5:$I$244,"")</f>
        <v/>
      </c>
      <c r="D12" s="10" t="inlineStr">
        <is>
          <t>If GST was charged but not recorded here, revenue is overstated by 5% and the CRA liability is understated.</t>
        </is>
      </c>
      <c r="E12" s="10" t="inlineStr">
        <is>
          <t>Enter the GST portion in column I, or use the manual override on CRA LIABILITY.</t>
        </is>
      </c>
    </row>
    <row r="13" ht="42" customHeight="1">
      <c r="A13" s="7" t="n">
        <v>9</v>
      </c>
      <c r="B13" s="28" t="inlineStr">
        <is>
          <t>Sole prop activity dated after June 30</t>
        </is>
      </c>
      <c r="C13" s="66">
        <f>COUNTIFS(TRANSACTIONS!$E$5:$E$244,"Sole Prop",TRANSACTIONS!$A$5:$A$244,"&gt;"&amp;DATE(2026,6,30))</f>
        <v/>
      </c>
      <c r="D13" s="10" t="inlineStr">
        <is>
          <t>The sole prop ceased June 30. Activity after that is either a late-settling job, a wrongly mapped account, or income that belongs to the corporation.</t>
        </is>
      </c>
      <c r="E13" s="10" t="inlineStr">
        <is>
          <t>Confirm which jobs straddled the transition and which entity earned them.</t>
        </is>
      </c>
    </row>
    <row r="14" ht="42" customHeight="1">
      <c r="A14" s="7" t="n">
        <v>10</v>
      </c>
      <c r="B14" s="28" t="inlineStr">
        <is>
          <t>Corporate activity dated before July 1</t>
        </is>
      </c>
      <c r="C14" s="66">
        <f>COUNTIFS(TRANSACTIONS!$E$5:$E$244,"Corporation",TRANSACTIONS!$A$5:$A$244,"&lt;"&amp;DATE(2026,7,1))</f>
        <v/>
      </c>
      <c r="D14" s="10" t="inlineStr">
        <is>
          <t>The corporation did not exist yet. This is usually pre-funding, or a wrongly mapped account.</t>
        </is>
      </c>
      <c r="E14" s="10" t="inlineStr">
        <is>
          <t>Confirm the incorporation date and when the corporate account opened.</t>
        </is>
      </c>
    </row>
    <row r="15" ht="42" customHeight="1">
      <c r="A15" s="7" t="n">
        <v>11</v>
      </c>
      <c r="B15" s="28" t="inlineStr">
        <is>
          <t>Business cash reconciliation difference</t>
        </is>
      </c>
      <c r="C15" s="67">
        <f>'CASH RECONCILIATION'!E21</f>
        <v/>
      </c>
      <c r="D15" s="10" t="inlineStr">
        <is>
          <t>Beginning cash plus inflows minus outflows must equal your real bank balance. It does not.</t>
        </is>
      </c>
      <c r="E15" s="10" t="inlineStr">
        <is>
          <t>A missing statement month, an account not loaded, or a wrong opening balance.</t>
        </is>
      </c>
    </row>
    <row r="16" ht="42" customHeight="1">
      <c r="A16" s="7" t="n">
        <v>12</v>
      </c>
      <c r="B16" s="28" t="inlineStr">
        <is>
          <t>Owner draws recorded from the corporation</t>
        </is>
      </c>
      <c r="C16" s="67">
        <f>SUMIFS(TRANSACTIONS!$D$5:$D$244,TRANSACTIONS!$E$5:$E$244,"Corporation",TRANSACTIONS!$G$5:$G$244,"Owner Draw/Comp")</f>
        <v/>
      </c>
      <c r="D16" s="10" t="inlineStr">
        <is>
          <t>You said $4,000/month since July 1. If the recorded total does not match roughly $28,000 across seven months, some draws are miscategorised as expenses.</t>
        </is>
      </c>
      <c r="E16" s="10" t="inlineStr">
        <is>
          <t>Confirm every payment to yourself and how each was categorised.</t>
        </is>
      </c>
    </row>
    <row r="17" ht="42" customHeight="1">
      <c r="A17" s="7" t="n">
        <v>13</v>
      </c>
      <c r="B17" s="28" t="inlineStr">
        <is>
          <t>Business expenses that may be personal</t>
        </is>
      </c>
      <c r="C17" s="67">
        <f>SUMIFS(TRANSACTIONS!$D$5:$D$244,TRANSACTIONS!$E$5:$E$244,"Corporation",TRANSACTIONS!$F$5:$F$244,"Personal expense")+SUMIFS(TRANSACTIONS!$D$5:$D$244,TRANSACTIONS!$E$5:$E$244,"Sole Prop",TRANSACTIONS!$F$5:$F$244,"Personal expense")</f>
        <v/>
      </c>
      <c r="D17" s="10" t="inlineStr">
        <is>
          <t>Personal spending from a business account is a shareholder benefit or a draw, not a deduction. CRA reassesses these.</t>
        </is>
      </c>
      <c r="E17" s="10" t="inlineStr">
        <is>
          <t>Identify them so they can be recorded as draws instead.</t>
        </is>
      </c>
    </row>
    <row r="18" ht="42" customHeight="1">
      <c r="A18" s="7" t="n">
        <v>14</v>
      </c>
      <c r="B18" s="28" t="inlineStr">
        <is>
          <t>Personal money spent on the business</t>
        </is>
      </c>
      <c r="C18" s="67">
        <f>SUMIFS(TRANSACTIONS!$D$5:$D$244,TRANSACTIONS!$E$5:$E$244,"Personal",TRANSACTIONS!$F$5:$F$244,"Materials and plants")+SUMIFS(TRANSACTIONS!$D$5:$D$244,TRANSACTIONS!$E$5:$E$244,"Personal",TRANSACTIONS!$F$5:$F$244,"Subcontractor")</f>
        <v/>
      </c>
      <c r="D18" s="10" t="inlineStr">
        <is>
          <t>Business costs paid personally are deductible and recoverable, but only if identified. This is money you are owed.</t>
        </is>
      </c>
      <c r="E18" s="10" t="inlineStr">
        <is>
          <t>Receipts for anything business-related bought on a personal card.</t>
        </is>
      </c>
    </row>
    <row r="20">
      <c r="B20" s="68" t="inlineStr">
        <is>
          <t>CONFIRMED ISSUES — from what you have already told me</t>
        </is>
      </c>
    </row>
    <row r="21" ht="46" customHeight="1">
      <c r="A21" s="30" t="inlineStr">
        <is>
          <t>A</t>
        </is>
      </c>
      <c r="B21" s="69" t="inlineStr">
        <is>
          <t>GST returns not filed and not paid, year to date</t>
        </is>
      </c>
      <c r="C21" s="70" t="inlineStr">
        <is>
          <t>CONFIRMED</t>
        </is>
      </c>
      <c r="D21" s="71" t="inlineStr">
        <is>
          <t>You confirmed this. GST collected is money held for CRA, not revenue. Penalties and interest accrue, and you are personally liable.</t>
        </is>
      </c>
      <c r="E21" s="71" t="inlineStr">
        <is>
          <t>How much revenue included GST, and any receipts supporting input tax credits.</t>
        </is>
      </c>
    </row>
    <row r="22" ht="46" customHeight="1">
      <c r="A22" s="30" t="inlineStr">
        <is>
          <t>B</t>
        </is>
      </c>
      <c r="B22" s="69" t="inlineStr">
        <is>
          <t>Payroll source deductions never remitted</t>
        </is>
      </c>
      <c r="C22" s="70" t="inlineStr">
        <is>
          <t>CONFIRMED</t>
        </is>
      </c>
      <c r="D22" s="71" t="inlineStr">
        <is>
          <t>CPP, EI and income tax on Kierran's wages are trust funds. Penalty is 10% on a first failure, 20% if repeated, plus interest. Directors are personally liable.</t>
        </is>
      </c>
      <c r="E22" s="71" t="inlineStr">
        <is>
          <t>Total gross wages paid to date, and whether anything was actually withheld from his pay.</t>
        </is>
      </c>
    </row>
    <row r="23" ht="46" customHeight="1">
      <c r="A23" s="30" t="inlineStr">
        <is>
          <t>C</t>
        </is>
      </c>
      <c r="B23" s="69" t="inlineStr">
        <is>
          <t>Owner draws of $4,000/month with no salary or dividend declared</t>
        </is>
      </c>
      <c r="C23" s="70" t="inlineStr">
        <is>
          <t>CONFIRMED</t>
        </is>
      </c>
      <c r="D23" s="71" t="inlineStr">
        <is>
          <t>This is a shareholder loan. Under s.15(2) it must be repaid within one year of the fiscal year end or it is added to your personal income. With a Jan 31, 2027 year end, that deadline is Jan 31, 2028.</t>
        </is>
      </c>
      <c r="E23" s="71" t="inlineStr">
        <is>
          <t>Your accountant's decision on salary versus dividend, before year end.</t>
        </is>
      </c>
    </row>
    <row r="24" ht="46" customHeight="1">
      <c r="A24" s="30" t="inlineStr">
        <is>
          <t>D</t>
        </is>
      </c>
      <c r="B24" s="69" t="inlineStr">
        <is>
          <t>Wealthsimple account liquidity</t>
        </is>
      </c>
      <c r="C24" s="70" t="inlineStr">
        <is>
          <t>CONFIRMED</t>
        </is>
      </c>
      <c r="D24" s="71" t="inlineStr">
        <is>
          <t>Investments only count as liquid if you would actually sell them. Selling may also trigger capital gains.</t>
        </is>
      </c>
      <c r="E24" s="71" t="inlineStr">
        <is>
          <t>Balance, whether it is registered (TFSA/RRSP) or not, and whether you would genuinely draw on it.</t>
        </is>
      </c>
    </row>
    <row r="25" ht="46" customHeight="1">
      <c r="A25" s="30" t="inlineStr">
        <is>
          <t>E</t>
        </is>
      </c>
      <c r="B25" s="69" t="inlineStr">
        <is>
          <t>No opening balance for personal cash at Feb 1</t>
        </is>
      </c>
      <c r="C25" s="70" t="inlineStr">
        <is>
          <t>CONFIRMED</t>
        </is>
      </c>
      <c r="D25" s="71" t="inlineStr">
        <is>
          <t>Personal ending cash cannot be calculated without it. The business opening balance is zero because operations began Feb 2026 — personal is not.</t>
        </is>
      </c>
      <c r="E25" s="71" t="inlineStr">
        <is>
          <t>Your TD chequing balance on Jan 31, 2026, and the Wealthsimple balance on the same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2026-09-04T03:36:12Z</dcterms:created>
  <dcterms:modified xsi:type="dcterms:W3CDTF">2026-09-04T03:36:12Z</dcterms:modified>
</cp:coreProperties>
</file>